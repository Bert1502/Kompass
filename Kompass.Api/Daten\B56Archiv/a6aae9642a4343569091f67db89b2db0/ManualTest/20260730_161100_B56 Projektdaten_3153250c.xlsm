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0" rupBuild="28925" codeName="{DD97A8EA-9A9A-E61F-A557-7D5A7D7259C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barbara.falkenhof\Desktop\B56_dynamische Berichte - Vorlagen\"/>
    </mc:Choice>
  </mc:AlternateContent>
  <xr:revisionPtr revIDLastSave="0" documentId="13_ncr:1_{F20B3E5F-80EB-489D-8936-CE57042C1046}" xr6:coauthVersionLast="47" xr6:coauthVersionMax="47" xr10:uidLastSave="{00000000-0000-0000-0000-000000000000}"/>
  <bookViews>
    <workbookView xWindow="-24945" yWindow="840" windowWidth="21600" windowHeight="14400" firstSheet="5" activeTab="8" xr2:uid="{00000000-000D-0000-FFFF-FFFF00000000}"/>
  </bookViews>
  <sheets>
    <sheet name="SCProjektangaben" sheetId="1" r:id="rId1"/>
    <sheet name="SCAllgDatErg" sheetId="2" r:id="rId2"/>
    <sheet name="SCZonendaten" sheetId="6" r:id="rId3"/>
    <sheet name="SCModernisierungen" sheetId="4" r:id="rId4"/>
    <sheet name="SCEnergiebilanz" sheetId="5" r:id="rId5"/>
    <sheet name="SCEnergiebericht" sheetId="3" r:id="rId6"/>
    <sheet name="SCEnergiebilanzNeubau" sheetId="9" r:id="rId7"/>
    <sheet name="SCNeubau" sheetId="7" r:id="rId8"/>
    <sheet name="SCNeubauberatungsbericht" sheetId="8" r:id="rId9"/>
  </sheets>
  <functionGroups builtInGroupCount="19"/>
  <definedNames>
    <definedName name="AllgBezugFlach">SCAllgDatErg!$B$11</definedName>
    <definedName name="AllgNachweis">SCAllgDatErg!$B$6</definedName>
    <definedName name="AllgVariante">SCAllgDatErg!$B$4</definedName>
    <definedName name="BEG_ZIEL">SCModernisierungen!$C$7</definedName>
    <definedName name="bestand_co2">SCModernisierungen!$C$230</definedName>
    <definedName name="Bestand_endenergiebedarf">SCModernisierungen!$C$229</definedName>
    <definedName name="Bestand_primaerenergiebedarf">SCModernisierungen!$C$228</definedName>
    <definedName name="BilCodeBt" localSheetId="6">SCEnergiebilanzNeubau!$B$6</definedName>
    <definedName name="BilCodeBt">SCEnergiebilanz!$B$6</definedName>
    <definedName name="BilCodeBtNeubau">SCEnergiebilanzNeubau!$B$6</definedName>
    <definedName name="BilEndenergieCF" localSheetId="6">SCEnergiebilanzNeubau!$F$122</definedName>
    <definedName name="BilEndenergieCF">SCEnergiebilanz!$F$123</definedName>
    <definedName name="BilEndenergieCGEN" localSheetId="6">SCEnergiebilanzNeubau!$F$123</definedName>
    <definedName name="BilEndenergieCGEN">SCEnergiebilanz!$F$124</definedName>
    <definedName name="BilEndenergieHF" localSheetId="6">SCEnergiebilanzNeubau!$F$118</definedName>
    <definedName name="BilEndenergieHF">SCEnergiebilanz!$F$119</definedName>
    <definedName name="BilEndenergieHGEN" localSheetId="6">SCEnergiebilanzNeubau!$F$119</definedName>
    <definedName name="BilEndenergieHGEN">SCEnergiebilanz!$F$120</definedName>
    <definedName name="BilEndenergieLF" localSheetId="6">SCEnergiebilanzNeubau!$F$125</definedName>
    <definedName name="BilEndenergieLF">SCEnergiebilanz!$F$126</definedName>
    <definedName name="BilEndenergieMF" localSheetId="6">SCEnergiebilanzNeubau!$F$124</definedName>
    <definedName name="BilEndenergieMF">SCEnergiebilanz!$F$125</definedName>
    <definedName name="BilEndenergieWF" localSheetId="6">SCEnergiebilanzNeubau!$F$120</definedName>
    <definedName name="BilEndenergieWF">SCEnergiebilanz!$F$121</definedName>
    <definedName name="BilEndenergieWGEN" localSheetId="6">SCEnergiebilanzNeubau!$F$121</definedName>
    <definedName name="BilEndenergieWGEN">SCEnergiebilanz!$F$122</definedName>
    <definedName name="BilErzeugerabgC" localSheetId="6">SCEnergiebilanzNeubau!$F$112</definedName>
    <definedName name="BilErzeugerabgC">SCEnergiebilanz!$F$113</definedName>
    <definedName name="BilErzeugerabgCCE" localSheetId="6">SCEnergiebilanzNeubau!$F$113</definedName>
    <definedName name="BilErzeugerabgCCE">SCEnergiebilanz!$F$114</definedName>
    <definedName name="BilErzeugerabgCD" localSheetId="6">SCEnergiebilanzNeubau!$F$114</definedName>
    <definedName name="BilErzeugerabgCD">SCEnergiebilanz!$F$115</definedName>
    <definedName name="BilErzeugerabgCS" localSheetId="6">SCEnergiebilanzNeubau!$F$115</definedName>
    <definedName name="BilErzeugerabgCS">SCEnergiebilanz!$F$116</definedName>
    <definedName name="BilErzeugerabgH" localSheetId="6">SCEnergiebilanzNeubau!$F$105</definedName>
    <definedName name="BilErzeugerabgH">SCEnergiebilanz!$F$106</definedName>
    <definedName name="BilErzeugerabgHC" localSheetId="6">SCEnergiebilanzNeubau!$F$106</definedName>
    <definedName name="BilErzeugerabgHC">SCEnergiebilanz!$F$107</definedName>
    <definedName name="BilErzeugerabgHD" localSheetId="6">SCEnergiebilanzNeubau!$F$107</definedName>
    <definedName name="BilErzeugerabgHD">SCEnergiebilanz!$F$108</definedName>
    <definedName name="BilErzeugerabgHS" localSheetId="6">SCEnergiebilanzNeubau!$F$108</definedName>
    <definedName name="BilErzeugerabgHS">SCEnergiebilanz!$F$109</definedName>
    <definedName name="BilErzeugerabgMSTERN" localSheetId="6">SCEnergiebilanzNeubau!$F$116</definedName>
    <definedName name="BilErzeugerabgMSTERN">SCEnergiebilanz!$F$117</definedName>
    <definedName name="BilErzeugerabgW" localSheetId="6">SCEnergiebilanzNeubau!$F$109</definedName>
    <definedName name="BilErzeugerabgW">SCEnergiebilanz!$F$110</definedName>
    <definedName name="BilErzeugerabgWD" localSheetId="6">SCEnergiebilanzNeubau!$F$110</definedName>
    <definedName name="BilErzeugerabgWD">SCEnergiebilanz!$F$111</definedName>
    <definedName name="BilErzeugerabgWS" localSheetId="6">SCEnergiebilanzNeubau!$F$111</definedName>
    <definedName name="BilErzeugerabgWS">SCEnergiebilanz!$F$112</definedName>
    <definedName name="BilHilfsenergieCCE" localSheetId="6">SCEnergiebilanzNeubau!$F$137</definedName>
    <definedName name="BilHilfsenergieCCE">SCEnergiebilanz!$F$138</definedName>
    <definedName name="BilHilfsenergieCD" localSheetId="6">SCEnergiebilanzNeubau!$F$138</definedName>
    <definedName name="BilHilfsenergieCD">SCEnergiebilanz!$F$139</definedName>
    <definedName name="BilHilfsenergieCGEN" localSheetId="6">SCEnergiebilanzNeubau!$F$139</definedName>
    <definedName name="BilHilfsenergieCGEN">SCEnergiebilanz!$F$140</definedName>
    <definedName name="BilHilfsenergieHCE" localSheetId="6">SCEnergiebilanzNeubau!$F$128</definedName>
    <definedName name="BilHilfsenergieHCE">SCEnergiebilanz!$F$129</definedName>
    <definedName name="BilHilfsenergieHD" localSheetId="6">SCEnergiebilanzNeubau!$F$129</definedName>
    <definedName name="BilHilfsenergieHD">SCEnergiebilanz!$F$130</definedName>
    <definedName name="BilHilfsenergieHGEN" localSheetId="6">SCEnergiebilanzNeubau!$F$131</definedName>
    <definedName name="BilHilfsenergieHGEN">SCEnergiebilanz!$F$132</definedName>
    <definedName name="BilHilfsenergieHS" localSheetId="6">SCEnergiebilanzNeubau!$F$130</definedName>
    <definedName name="BilHilfsenergieHS">SCEnergiebilanz!$F$131</definedName>
    <definedName name="BilHilfsenergieV" localSheetId="6">SCEnergiebilanzNeubau!$F$140</definedName>
    <definedName name="BilHilfsenergieV">SCEnergiebilanz!$F$141</definedName>
    <definedName name="BilHilfsenergieWD" localSheetId="6">SCEnergiebilanzNeubau!$F$133</definedName>
    <definedName name="BilHilfsenergieWD">SCEnergiebilanz!$F$134</definedName>
    <definedName name="BilHilfsenergieWGEN" localSheetId="6">SCEnergiebilanzNeubau!$F$135</definedName>
    <definedName name="BilHilfsenergieWGEN">SCEnergiebilanz!$F$136</definedName>
    <definedName name="BilHilfsenergieWS" localSheetId="6">SCEnergiebilanzNeubau!$F$134</definedName>
    <definedName name="BilHilfsenergieWS">SCEnergiebilanz!$F$135</definedName>
    <definedName name="BilNutzC" localSheetId="6">SCEnergiebilanzNeubau!$F$101</definedName>
    <definedName name="BilNutzC">SCEnergiebilanz!$F$102</definedName>
    <definedName name="BilNutzH" localSheetId="6">SCEnergiebilanzNeubau!$F$99</definedName>
    <definedName name="BilNutzH">SCEnergiebilanz!$F$100</definedName>
    <definedName name="BilNutzL" localSheetId="6">SCEnergiebilanzNeubau!$F$103</definedName>
    <definedName name="BilNutzL">SCEnergiebilanz!$F$104</definedName>
    <definedName name="BilNutzMSTERN" localSheetId="6">SCEnergiebilanzNeubau!$F$102</definedName>
    <definedName name="BilNutzMSTERN">SCEnergiebilanz!$F$103</definedName>
    <definedName name="BilNutzW" localSheetId="6">SCEnergiebilanzNeubau!$F$100</definedName>
    <definedName name="BilNutzW">SCEnergiebilanz!$F$101</definedName>
    <definedName name="BilPrimärC" localSheetId="6">SCEnergiebilanzNeubau!$F$144</definedName>
    <definedName name="BilPrimärC">SCEnergiebilanz!$F$145</definedName>
    <definedName name="BilPrimärH" localSheetId="6">SCEnergiebilanzNeubau!$F$142</definedName>
    <definedName name="BilPrimärH">SCEnergiebilanz!$F$143</definedName>
    <definedName name="BilPrimärL" localSheetId="6">SCEnergiebilanzNeubau!$F$146</definedName>
    <definedName name="BilPrimärL">SCEnergiebilanz!$F$147</definedName>
    <definedName name="BilPrimärMSTERN" localSheetId="6">SCEnergiebilanzNeubau!$F$145</definedName>
    <definedName name="BilPrimärMSTERN">SCEnergiebilanz!$F$146</definedName>
    <definedName name="BilPrimärV" localSheetId="6">SCEnergiebilanzNeubau!$F$147</definedName>
    <definedName name="BilPrimärV">SCEnergiebilanz!$F$148</definedName>
    <definedName name="BilPrimärW" localSheetId="6">SCEnergiebilanzNeubau!$F$143</definedName>
    <definedName name="BilPrimärW">SCEnergiebilanz!$F$144</definedName>
    <definedName name="BilWärmequellC" localSheetId="6">SCEnergiebilanzNeubau!$F$68</definedName>
    <definedName name="BilWärmequellC">SCEnergiebilanz!$F$69</definedName>
    <definedName name="BilWärmequellCT" localSheetId="6">SCEnergiebilanzNeubau!$F$74</definedName>
    <definedName name="BilWärmequellCT">SCEnergiebilanz!$F$75</definedName>
    <definedName name="BilWärmequellCTE" localSheetId="6">SCEnergiebilanzNeubau!$F$75</definedName>
    <definedName name="BilWärmequellCTE">SCEnergiebilanz!$F$76</definedName>
    <definedName name="BilWärmequellCTS" localSheetId="6">SCEnergiebilanzNeubau!$F$76</definedName>
    <definedName name="BilWärmequellCTS">SCEnergiebilanz!$F$77</definedName>
    <definedName name="BilWärmequellCTU" localSheetId="6">SCEnergiebilanzNeubau!$F$78</definedName>
    <definedName name="BilWärmequellCTU">SCEnergiebilanz!$F$79</definedName>
    <definedName name="BilWärmequellCTZ" localSheetId="6">SCEnergiebilanzNeubau!$F$77</definedName>
    <definedName name="BilWärmequellCTZ">SCEnergiebilanz!$F$78</definedName>
    <definedName name="BilWärmequellCV" localSheetId="6">SCEnergiebilanzNeubau!$F$84</definedName>
    <definedName name="BilWärmequellCV">SCEnergiebilanz!$F$85</definedName>
    <definedName name="BilWärmequellCVINF" localSheetId="6">SCEnergiebilanzNeubau!$F$85</definedName>
    <definedName name="BilWärmequellCVINF">SCEnergiebilanz!$F$86</definedName>
    <definedName name="BilWärmequellCVMECH" localSheetId="6">SCEnergiebilanzNeubau!$F$87</definedName>
    <definedName name="BilWärmequellCVMECH">SCEnergiebilanz!$F$88</definedName>
    <definedName name="BilWärmequellCVWIN" localSheetId="6">SCEnergiebilanzNeubau!$F$86</definedName>
    <definedName name="BilWärmequellCVWIN">SCEnergiebilanz!$F$87</definedName>
    <definedName name="BilWärmequellCVZ" localSheetId="6">SCEnergiebilanzNeubau!$F$88</definedName>
    <definedName name="BilWärmequellCVZ">SCEnergiebilanz!$F$89</definedName>
    <definedName name="BilWärmequellH" localSheetId="6">SCEnergiebilanzNeubau!$F$67</definedName>
    <definedName name="BilWärmequellH">SCEnergiebilanz!$F$68</definedName>
    <definedName name="BilWärmequellHT" localSheetId="6">SCEnergiebilanzNeubau!$F$69</definedName>
    <definedName name="BilWärmequellHT">SCEnergiebilanz!$F$70</definedName>
    <definedName name="BilWärmequellHTS" localSheetId="6">SCEnergiebilanzNeubau!$F$71</definedName>
    <definedName name="BilWärmequellHTS">SCEnergiebilanz!$F$72</definedName>
    <definedName name="BilWärmequellHTU" localSheetId="6">SCEnergiebilanzNeubau!$F$73</definedName>
    <definedName name="BilWärmequellHTU">SCEnergiebilanz!$F$74</definedName>
    <definedName name="BilWärmequellHTZ" localSheetId="6">SCEnergiebilanzNeubau!$F$72</definedName>
    <definedName name="BilWärmequellHTZ">SCEnergiebilanz!$F$73</definedName>
    <definedName name="BilWärmequellHV" localSheetId="6">SCEnergiebilanzNeubau!$F$79</definedName>
    <definedName name="BilWärmequellHV">SCEnergiebilanz!$F$80</definedName>
    <definedName name="BilWärmequellHVINF" localSheetId="6">SCEnergiebilanzNeubau!$F$80</definedName>
    <definedName name="BilWärmequellHVINF">SCEnergiebilanz!$F$81</definedName>
    <definedName name="BilWärmequellHVMECH" localSheetId="6">SCEnergiebilanzNeubau!$F$82</definedName>
    <definedName name="BilWärmequellHVMECH">SCEnergiebilanz!$F$83</definedName>
    <definedName name="BilWärmequellHVWIN" localSheetId="6">SCEnergiebilanzNeubau!$F$81</definedName>
    <definedName name="BilWärmequellHVWIN">SCEnergiebilanz!$F$82</definedName>
    <definedName name="BilWärmequellHVZ" localSheetId="6">SCEnergiebilanzNeubau!$F$83</definedName>
    <definedName name="BilWärmequellHVZ">SCEnergiebilanz!$F$84</definedName>
    <definedName name="BilWärmequellI" localSheetId="6">SCEnergiebilanzNeubau!$F$89</definedName>
    <definedName name="BilWärmequellI">SCEnergiebilanz!$F$90</definedName>
    <definedName name="BilWärmequellIFAC" localSheetId="6">SCEnergiebilanzNeubau!$F$91</definedName>
    <definedName name="BilWärmequellIFAC">SCEnergiebilanz!$F$92</definedName>
    <definedName name="BilWärmequellIGOODS" localSheetId="6">SCEnergiebilanzNeubau!$F$92</definedName>
    <definedName name="BilWärmequellIGOODS">SCEnergiebilanz!$F$93</definedName>
    <definedName name="BilWärmequellIH" localSheetId="6">SCEnergiebilanzNeubau!$F$94</definedName>
    <definedName name="BilWärmequellIH">SCEnergiebilanz!$F$95</definedName>
    <definedName name="BilWärmequellIL" localSheetId="6">SCEnergiebilanzNeubau!$F$93</definedName>
    <definedName name="BilWärmequellIL">SCEnergiebilanz!$F$94</definedName>
    <definedName name="BilWärmequellIP" localSheetId="6">SCEnergiebilanzNeubau!$F$90</definedName>
    <definedName name="BilWärmequellIP">SCEnergiebilanz!$F$91</definedName>
    <definedName name="BilWärmequellS" localSheetId="6">SCEnergiebilanzNeubau!$F$95</definedName>
    <definedName name="BilWärmequellS">SCEnergiebilanz!$F$96</definedName>
    <definedName name="BilWärmequellSOP" localSheetId="6">SCEnergiebilanzNeubau!$F$97</definedName>
    <definedName name="BilWärmequellSOP">SCEnergiebilanz!$F$98</definedName>
    <definedName name="BilWärmequellSTR" localSheetId="6">SCEnergiebilanzNeubau!$F$96</definedName>
    <definedName name="BilWärmequellSTR">SCEnergiebilanz!$F$97</definedName>
    <definedName name="BilWärmesenkC" localSheetId="6">SCEnergiebilanzNeubau!$F$40</definedName>
    <definedName name="BilWärmesenkC">SCEnergiebilanz!$F$41</definedName>
    <definedName name="BilWärmesenkCT" localSheetId="6">SCEnergiebilanzNeubau!$F$46</definedName>
    <definedName name="BilWärmesenkCT">SCEnergiebilanz!$F$47</definedName>
    <definedName name="BilWärmesenkCTE" localSheetId="6">SCEnergiebilanzNeubau!$F$47</definedName>
    <definedName name="BilWärmesenkCTE">SCEnergiebilanz!$F$48</definedName>
    <definedName name="BilWärmesenkCTS" localSheetId="6">SCEnergiebilanzNeubau!$F$48</definedName>
    <definedName name="BilWärmesenkCTS">SCEnergiebilanz!$F$49</definedName>
    <definedName name="BilWärmesenkCTU" localSheetId="6">SCEnergiebilanzNeubau!$F$50</definedName>
    <definedName name="BilWärmesenkCTU">SCEnergiebilanz!$F$51</definedName>
    <definedName name="BilWärmesenkCTZ" localSheetId="6">SCEnergiebilanzNeubau!$F$49</definedName>
    <definedName name="BilWärmesenkCTZ">SCEnergiebilanz!$F$50</definedName>
    <definedName name="BilWärmesenkCV" localSheetId="6">SCEnergiebilanzNeubau!$F$56</definedName>
    <definedName name="BilWärmesenkCV">SCEnergiebilanz!$F$57</definedName>
    <definedName name="BilWärmesenkCVINF" localSheetId="6">SCEnergiebilanzNeubau!$F$57</definedName>
    <definedName name="BilWärmesenkCVINF">SCEnergiebilanz!$F$58</definedName>
    <definedName name="BilWärmesenkCVMECH" localSheetId="6">SCEnergiebilanzNeubau!$F$59</definedName>
    <definedName name="BilWärmesenkCVMECH">SCEnergiebilanz!$F$60</definedName>
    <definedName name="BilWärmesenkCVWIN" localSheetId="6">SCEnergiebilanzNeubau!$F$58</definedName>
    <definedName name="BilWärmesenkCVWIN">SCEnergiebilanz!$F$59</definedName>
    <definedName name="BilWärmesenkCVZ" localSheetId="6">SCEnergiebilanzNeubau!$F$60</definedName>
    <definedName name="BilWärmesenkCVZ">SCEnergiebilanz!$F$61</definedName>
    <definedName name="BilWärmesenkH" localSheetId="6">SCEnergiebilanzNeubau!$F$39</definedName>
    <definedName name="BilWärmesenkH">SCEnergiebilanz!$F$40</definedName>
    <definedName name="BilWärmesenkHT" localSheetId="6">SCEnergiebilanzNeubau!$F$41</definedName>
    <definedName name="BilWärmesenkHT">SCEnergiebilanz!$F$42</definedName>
    <definedName name="BilWärmesenkHT_neubau">SCEnergiebilanzNeubau!$F$41</definedName>
    <definedName name="BilWärmesenkHTE" localSheetId="6">SCEnergiebilanzNeubau!$F$42</definedName>
    <definedName name="BilWärmesenkHTE">SCEnergiebilanz!$F$43</definedName>
    <definedName name="BilWärmesenkHTNeu">SCEnergiebilanzNeubau!$F$41</definedName>
    <definedName name="BilWärmesenkHTS" localSheetId="6">SCEnergiebilanzNeubau!$F$43</definedName>
    <definedName name="BilWärmesenkHTS">SCEnergiebilanz!$F$44</definedName>
    <definedName name="BilWärmesenkHTU" localSheetId="6">SCEnergiebilanzNeubau!$F$45</definedName>
    <definedName name="BilWärmesenkHTU">SCEnergiebilanz!$F$46</definedName>
    <definedName name="BilWärmesenkHTZ" localSheetId="6">SCEnergiebilanzNeubau!$F$44</definedName>
    <definedName name="BilWärmesenkHTZ">SCEnergiebilanz!$F$45</definedName>
    <definedName name="BilWärmesenkHV" localSheetId="6">SCEnergiebilanzNeubau!$F$51</definedName>
    <definedName name="BilWärmesenkHV">SCEnergiebilanz!$F$52</definedName>
    <definedName name="BilWärmesenkHVINF" localSheetId="6">SCEnergiebilanzNeubau!$F$52</definedName>
    <definedName name="BilWärmesenkHVINF">SCEnergiebilanz!$F$53</definedName>
    <definedName name="BilWärmesenkHVMECH" localSheetId="6">SCEnergiebilanzNeubau!$F$54</definedName>
    <definedName name="BilWärmesenkHVMECH">SCEnergiebilanz!$F$55</definedName>
    <definedName name="BilWärmesenkHVWIN" localSheetId="6">SCEnergiebilanzNeubau!$F$53</definedName>
    <definedName name="BilWärmesenkHVWIN">SCEnergiebilanz!$F$54</definedName>
    <definedName name="BilWärmesenkHVZ" localSheetId="6">SCEnergiebilanzNeubau!$F$55</definedName>
    <definedName name="BilWärmesenkHVZ">SCEnergiebilanz!$F$56</definedName>
    <definedName name="BilWärmesenkI" localSheetId="6">SCEnergiebilanzNeubau!$F$61</definedName>
    <definedName name="BilWärmesenkI">SCEnergiebilanz!$F$62</definedName>
    <definedName name="BilWärmesenkIC" localSheetId="6">SCEnergiebilanzNeubau!$F$64</definedName>
    <definedName name="BilWärmesenkIC">SCEnergiebilanz!$F$65</definedName>
    <definedName name="BilWärmesenkIFAC" localSheetId="6">SCEnergiebilanzNeubau!$F$62</definedName>
    <definedName name="BilWärmesenkIFAC">SCEnergiebilanz!$F$63</definedName>
    <definedName name="BilWärmesenkIGOODS" localSheetId="6">SCEnergiebilanzNeubau!$F$63</definedName>
    <definedName name="BilWärmesenkIGOODS">SCEnergiebilanz!$F$64</definedName>
    <definedName name="BilWärmesenkS" localSheetId="6">SCEnergiebilanzNeubau!$F$65</definedName>
    <definedName name="BilWärmesenkS">SCEnergiebilanz!$F$66</definedName>
    <definedName name="BilWärmesenkSOP" localSheetId="6">SCEnergiebilanzNeubau!$F$66</definedName>
    <definedName name="BilWärmesenkSOP">SCEnergiebilanz!$F$67</definedName>
    <definedName name="BTCODE">SCNeubau!$B$18</definedName>
    <definedName name="BTCODE_B">SCModernisierungen!$B$249</definedName>
    <definedName name="EtDiaET2">OFFSET(#REF!,0,0,12-COUNTIF(#REF!,""))</definedName>
    <definedName name="FeldEbBezugFlach">SCEnergiebericht!$C$14</definedName>
    <definedName name="FeldEbMod1Bez">SCEnergiebericht!$D$20</definedName>
    <definedName name="FeldEbModEinZugBez">SCEnergiebericht!$C$20</definedName>
    <definedName name="FeldEbObjektKurz">SCEnergiebericht!$D$5</definedName>
    <definedName name="FeldEbUmfassFlach">SCEnergiebericht!$C$15</definedName>
    <definedName name="FeldEbVe">SCEnergiebericht!$C$16</definedName>
    <definedName name="Foerderprogramm1_gesamt">SCModernisierungen!$C$15</definedName>
    <definedName name="foerderprogramm1_schritt1">SCModernisierungen!$C$41</definedName>
    <definedName name="Mod1Bez">SCModernisierungen!$C$29</definedName>
    <definedName name="Mod1BezKom">SCModernisierungen!$C$36</definedName>
    <definedName name="Mod1ETbez">SCModernisierungen!$C$45</definedName>
    <definedName name="Mod2Bez">SCModernisierungen!$C$53</definedName>
    <definedName name="Mod2BezKom">SCModernisierungen!$C$60</definedName>
    <definedName name="Mod2ETbez">SCModernisierungen!$C$67</definedName>
    <definedName name="Mod3Bez">SCModernisierungen!$C$75</definedName>
    <definedName name="Mod3BezKom">SCModernisierungen!$C$82</definedName>
    <definedName name="Mod3ETbez">SCModernisierungen!$C$89</definedName>
    <definedName name="Mod4Bez">SCModernisierungen!$C$97</definedName>
    <definedName name="Mod4BezKom">SCModernisierungen!$C$104</definedName>
    <definedName name="Mod4ETbez">SCModernisierungen!$C$111</definedName>
    <definedName name="Mod5Bez">SCModernisierungen!$C$119</definedName>
    <definedName name="Mod5BezKom">SCModernisierungen!$C$126</definedName>
    <definedName name="Mod5ETbez">SCModernisierungen!$C$133</definedName>
    <definedName name="Mod6Bez">SCModernisierungen!$C$141</definedName>
    <definedName name="Mod6BezKom">SCModernisierungen!$C$148</definedName>
    <definedName name="Mod6ETbez">SCModernisierungen!$C$155</definedName>
    <definedName name="Mod7Bez">SCModernisierungen!$C$163</definedName>
    <definedName name="Mod7BezKom">SCModernisierungen!$C$170</definedName>
    <definedName name="Mod7ETbez">SCModernisierungen!$C$177</definedName>
    <definedName name="Mod8Bez">SCModernisierungen!$C$185</definedName>
    <definedName name="Mod8BezKom">SCModernisierungen!$C$192</definedName>
    <definedName name="Mod8ETbez">SCModernisierungen!$C$199</definedName>
    <definedName name="Mod9Bez">SCModernisierungen!$C$207</definedName>
    <definedName name="Mod9BezKom">SCModernisierungen!$C$214</definedName>
    <definedName name="Mod9ETbez">SCModernisierungen!$C$220</definedName>
    <definedName name="ModBestandETbez">SCModernisierungen!$C$232</definedName>
    <definedName name="ModEinZugBez">SCModernisierungen!$C$5</definedName>
    <definedName name="ModEinZugBezKom">SCModernisierungen!$C$18</definedName>
    <definedName name="ModEinZugETbez">SCModernisierungen!$C$21</definedName>
    <definedName name="ModEtBez">SCModernisierungen!$C$241</definedName>
    <definedName name="NB_energiebilanz">SCNeubauberatungsbericht!$U$123:$X$153</definedName>
    <definedName name="NB_energiekosten">SCNeubauberatungsbericht!$K$11</definedName>
    <definedName name="NB_neubaufaktor">SCNeubau!$C$11</definedName>
    <definedName name="NB_qf">SCNeubauberatungsbericht!$K$12</definedName>
    <definedName name="NB_ref_co2">SCNeubau!$C$8</definedName>
    <definedName name="NB_ref_energiekosten">SCNeubau!$C$9</definedName>
    <definedName name="NB_ref_grundkosten_energie">SCNeubau!$C$10</definedName>
    <definedName name="NB_ref_q_f">SCNeubau!$C$7</definedName>
    <definedName name="NB_ref_qp">SCNeubau!$C$6</definedName>
    <definedName name="NB_tab_uwertvergleich">INDIRECT("SCNeubauberatungsbericht!$O$19:$S$"&amp;(99-COUNT(SCNeubauberatungsbericht!$O$22:$O$120)+21))</definedName>
    <definedName name="NB_tab_vergleichEnergiebedarf">SCNeubauberatungsbericht!$B$5:$E$8</definedName>
    <definedName name="NB_tab_wirtschaftlichkeit_mit_foerderung">SCNeubauberatungsbericht!$G$11:$M$16</definedName>
    <definedName name="ProEigAnrede">SCProjektangaben!$B$8</definedName>
    <definedName name="ProObjektInfo">SCProjektangaben!$B$4</definedName>
    <definedName name="tabEB_foerderprogramme_gesamtsanierung">INDIRECT("SCEnergiebericht!$BC$400:$BE$"&amp;(401+SCEnergiebericht!$BE$399))</definedName>
    <definedName name="tabEB_foerderprogramme_schritt1">INDIRECT("SCEnergiebericht!$BG$400:$BI$"&amp;(401+SCEnergiebericht!$BI$399))</definedName>
    <definedName name="tabEB_uwertvergleich">INDIRECT("SCEnergiebericht!$AH$264:$AN$"&amp;(99-COUNT(SCEnergiebericht!$AH$267:$AH$365)+266))</definedName>
    <definedName name="tabEB_vergleich_kosten">INDIRECT("SCEnergiebericht!$AW$385:$BA$"&amp;(387+SCEnergiebericht!$AY$384))</definedName>
    <definedName name="tabEB_vergleichenergiebedarf">INDIRECT("SCEnergiebericht!$AQ$370:$AT$"&amp;(SCEnergiebericht!$AQ$368+373))</definedName>
    <definedName name="tabEb_wirtschaftmitfoerder_einzug">SCEnergiebericht!$B$82:$H$87</definedName>
    <definedName name="tabEb_wirtschaftmitfoerder_schritt1">SCEnergiebericht!$B$90:$H$95</definedName>
    <definedName name="TabEbAdrEientümer">SCEnergiebericht!$C$9:$C$11</definedName>
    <definedName name="TabEbAdrGebäude">SCEnergiebericht!$C$5:$C$7</definedName>
    <definedName name="TabEbBauteiltransmission">OFFSET(SCEnergiebericht!$J$161,0,0,32-COUNTIF(SCEnergiebericht!$J$163:$J$192,""),4)</definedName>
    <definedName name="TabEbBilanz">OFFSET(SCEnergiebericht!$N$194,0,0,31,4)</definedName>
    <definedName name="TabEbEnergiekosten">OFFSET(SCEnergiebericht!$R$228,0,0,12-COUNTIF(SCEnergiebericht!$R$230:$R$239,""),6)</definedName>
    <definedName name="TabEbHilfBauteitransmission">OFFSET(SCEnergiebericht!$O$162,0,0,31-COUNTIF(SCEnergiebericht!$O$163:$O$192,""),3)</definedName>
    <definedName name="TabEbHilfRedCO2">OFFSET(SCEnergiebericht!$B$146,0,0,12-COUNTIF(SCEnergiebericht!$B$147:$B$157,""),2)</definedName>
    <definedName name="TabEbHilfRedEndenergie">OFFSET(SCEnergiebericht!$B$116,0,0,12-COUNTIF(SCEnergiebericht!$B$117:$B$127,""),11-COUNTIF(SCEnergiebericht!$C$116:$L$116,""))</definedName>
    <definedName name="TabEbHilfRedPimärenergie">OFFSET(SCEnergiebericht!$B$131,0,0,12-COUNTIF(SCEnergiebericht!$B$132:$B$142,""),11-COUNTIF(SCEnergiebericht!$C$131:$L$131,""))</definedName>
    <definedName name="TabEbHilfZoneListe">OFFSET(SCEnergiebericht!$T$243,0,0,52-COUNTIF(SCEnergiebericht!$T$243:$T$294,""),2)</definedName>
    <definedName name="TabEbModEinZugKomponenten">OFFSET(SCEnergiebericht!$C$22,0,0,30 - COUNTIF(SCEnergiebericht!$C$22:$C$51,""),1)</definedName>
    <definedName name="TabEbModSchritte">OFFSET(SCEnergiebericht!$B$54,0,0,9-COUNTIF(SCEnergiebericht!$B$54:$B$62,""),1)</definedName>
    <definedName name="TabEbRedCO2">OFFSET(SCEnergiebericht!$T$146,0,0,14-COUNTIF(SCEnergiebericht!$T$148:$T$159,""),3)</definedName>
    <definedName name="TabEbRedEndenergie">OFFSET(SCEnergiebericht!$T$116,0,0,14-COUNTIF(SCEnergiebericht!$T$118:$T$129,""),3)</definedName>
    <definedName name="TabEbRedPimärenergie">OFFSET(SCEnergiebericht!$T$131,0,0,14-COUNTIF(SCEnergiebericht!$T$133:$T$144,""),3)</definedName>
    <definedName name="TabEbWirtModEinZug">OFFSET(SCEnergiebericht!$R$98,0,0,3,6)</definedName>
    <definedName name="TabEbWirtModInSchritten">OFFSET(SCEnergiebericht!$B$103,0,0,11-COUNTIF(SCEnergiebericht!$B$105:$B$113,""),7)</definedName>
    <definedName name="TabEbWirtZusammenfassung">OFFSET(SCEnergiebericht!$B$65,0,0,15-COUNTIF(SCEnergiebericht!$B$70:$B$79,""),7)</definedName>
    <definedName name="TabEbZoneListe">OFFSET(SCEnergiebericht!$X$241,0,0,54-COUNTIF(SCEnergiebericht!$X$243:$X$294,""),4)</definedName>
    <definedName name="TabEbZonenKonditionierung">OFFSET(SCEnergiebericht!$AC$241,0,0,54-COUNTIF(SCEnergiebericht!$AC$243:$AC$294,""),3)</definedName>
    <definedName name="Ziel_co2">SCModernisierungen!$C$10</definedName>
    <definedName name="Ziel_kosten_eemehr">SCModernisierungen!$C$13</definedName>
    <definedName name="Ziel_kosten_instand">SCModernisierungen!$C$12</definedName>
    <definedName name="Ziel_kosten_invest">SCModernisierungen!$C$11</definedName>
    <definedName name="Ziel_qf">SCModernisierungen!$C$9</definedName>
    <definedName name="Ziel_qp">SCModernisierungen!$C$8</definedName>
    <definedName name="ZonNummer">SCZonendaten!$B$5</definedName>
  </definedNames>
  <calcPr calcId="191029"/>
</workbook>
</file>

<file path=xl/calcChain.xml><?xml version="1.0" encoding="utf-8"?>
<calcChain xmlns="http://schemas.openxmlformats.org/spreadsheetml/2006/main">
  <c r="J163" i="3" l="1"/>
  <c r="J191" i="3" l="1"/>
  <c r="O191" i="3" s="1"/>
  <c r="J192" i="3"/>
  <c r="O192" i="3" s="1"/>
  <c r="M192" i="3" l="1"/>
  <c r="Q192" i="3" s="1"/>
  <c r="M191" i="3"/>
  <c r="Q191" i="3" s="1"/>
  <c r="M190" i="3"/>
  <c r="Q190" i="3" s="1"/>
  <c r="M189" i="3"/>
  <c r="Q189" i="3" s="1"/>
  <c r="M188" i="3"/>
  <c r="Q188" i="3" s="1"/>
  <c r="M187" i="3"/>
  <c r="Q187" i="3" s="1"/>
  <c r="M186" i="3"/>
  <c r="Q186" i="3" s="1"/>
  <c r="M185" i="3"/>
  <c r="Q185" i="3" s="1"/>
  <c r="M184" i="3"/>
  <c r="Q184" i="3" s="1"/>
  <c r="M183" i="3"/>
  <c r="Q183" i="3" s="1"/>
  <c r="M182" i="3"/>
  <c r="Q182" i="3" s="1"/>
  <c r="M181" i="3"/>
  <c r="Q181" i="3" s="1"/>
  <c r="M180" i="3"/>
  <c r="Q180" i="3" s="1"/>
  <c r="M179" i="3"/>
  <c r="Q179" i="3" s="1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K192" i="3"/>
  <c r="P192" i="3" s="1"/>
  <c r="K191" i="3"/>
  <c r="P191" i="3" s="1"/>
  <c r="J181" i="3"/>
  <c r="O181" i="3" s="1"/>
  <c r="K190" i="3"/>
  <c r="P190" i="3" s="1"/>
  <c r="K189" i="3"/>
  <c r="P189" i="3" s="1"/>
  <c r="K188" i="3"/>
  <c r="P188" i="3" s="1"/>
  <c r="K187" i="3"/>
  <c r="P187" i="3" s="1"/>
  <c r="K186" i="3"/>
  <c r="P186" i="3" s="1"/>
  <c r="K185" i="3"/>
  <c r="P185" i="3" s="1"/>
  <c r="K184" i="3"/>
  <c r="P184" i="3" s="1"/>
  <c r="K183" i="3"/>
  <c r="P183" i="3" s="1"/>
  <c r="K182" i="3"/>
  <c r="P182" i="3" s="1"/>
  <c r="K181" i="3"/>
  <c r="P181" i="3" s="1"/>
  <c r="K180" i="3"/>
  <c r="P180" i="3" s="1"/>
  <c r="K179" i="3"/>
  <c r="P179" i="3" s="1"/>
  <c r="J190" i="3"/>
  <c r="O190" i="3" s="1"/>
  <c r="J189" i="3"/>
  <c r="O189" i="3" s="1"/>
  <c r="J188" i="3"/>
  <c r="O188" i="3" s="1"/>
  <c r="J187" i="3"/>
  <c r="O187" i="3" s="1"/>
  <c r="J186" i="3"/>
  <c r="O186" i="3" s="1"/>
  <c r="J185" i="3"/>
  <c r="O185" i="3" s="1"/>
  <c r="J184" i="3"/>
  <c r="O184" i="3" s="1"/>
  <c r="J183" i="3"/>
  <c r="O183" i="3" s="1"/>
  <c r="J182" i="3"/>
  <c r="O182" i="3" s="1"/>
  <c r="J172" i="3" l="1"/>
  <c r="O172" i="3" s="1"/>
  <c r="K172" i="3"/>
  <c r="P172" i="3" s="1"/>
  <c r="L172" i="3"/>
  <c r="M172" i="3"/>
  <c r="Q172" i="3" s="1"/>
  <c r="J173" i="3"/>
  <c r="O173" i="3" s="1"/>
  <c r="K173" i="3"/>
  <c r="P173" i="3" s="1"/>
  <c r="L173" i="3"/>
  <c r="M173" i="3"/>
  <c r="Q173" i="3" s="1"/>
  <c r="J174" i="3"/>
  <c r="O174" i="3" s="1"/>
  <c r="K174" i="3"/>
  <c r="P174" i="3" s="1"/>
  <c r="L174" i="3"/>
  <c r="M174" i="3"/>
  <c r="Q174" i="3" s="1"/>
  <c r="J175" i="3"/>
  <c r="O175" i="3" s="1"/>
  <c r="K175" i="3"/>
  <c r="P175" i="3" s="1"/>
  <c r="L175" i="3"/>
  <c r="M175" i="3"/>
  <c r="Q175" i="3" s="1"/>
  <c r="J176" i="3"/>
  <c r="O176" i="3" s="1"/>
  <c r="K176" i="3"/>
  <c r="P176" i="3" s="1"/>
  <c r="L176" i="3"/>
  <c r="M176" i="3"/>
  <c r="Q176" i="3" s="1"/>
  <c r="J177" i="3"/>
  <c r="O177" i="3" s="1"/>
  <c r="K177" i="3"/>
  <c r="P177" i="3" s="1"/>
  <c r="L177" i="3"/>
  <c r="M177" i="3"/>
  <c r="Q177" i="3" s="1"/>
  <c r="J178" i="3"/>
  <c r="O178" i="3" s="1"/>
  <c r="K178" i="3"/>
  <c r="P178" i="3" s="1"/>
  <c r="L178" i="3"/>
  <c r="M178" i="3"/>
  <c r="Q178" i="3" s="1"/>
  <c r="J179" i="3"/>
  <c r="O179" i="3" s="1"/>
  <c r="J180" i="3"/>
  <c r="O180" i="3" s="1"/>
  <c r="AZ396" i="3" l="1"/>
  <c r="AZ395" i="3"/>
  <c r="AZ394" i="3"/>
  <c r="AZ393" i="3"/>
  <c r="AZ392" i="3"/>
  <c r="AZ391" i="3"/>
  <c r="AZ390" i="3"/>
  <c r="AZ389" i="3"/>
  <c r="AZ388" i="3"/>
  <c r="AY396" i="3"/>
  <c r="AY395" i="3"/>
  <c r="AY394" i="3"/>
  <c r="AY393" i="3"/>
  <c r="AY392" i="3"/>
  <c r="AY391" i="3"/>
  <c r="AY390" i="3"/>
  <c r="AY389" i="3"/>
  <c r="AY388" i="3"/>
  <c r="AX396" i="3"/>
  <c r="AX395" i="3"/>
  <c r="AX394" i="3"/>
  <c r="AX393" i="3"/>
  <c r="AX392" i="3"/>
  <c r="AX391" i="3"/>
  <c r="AX390" i="3"/>
  <c r="AX389" i="3"/>
  <c r="AX388" i="3"/>
  <c r="AZ387" i="3"/>
  <c r="AY387" i="3"/>
  <c r="AX387" i="3"/>
  <c r="S100" i="3"/>
  <c r="J171" i="3"/>
  <c r="O171" i="3" s="1"/>
  <c r="J170" i="3"/>
  <c r="O170" i="3" s="1"/>
  <c r="J169" i="3"/>
  <c r="O169" i="3" s="1"/>
  <c r="J168" i="3"/>
  <c r="O168" i="3" s="1"/>
  <c r="J167" i="3"/>
  <c r="O167" i="3" s="1"/>
  <c r="J166" i="3"/>
  <c r="O166" i="3" s="1"/>
  <c r="J165" i="3"/>
  <c r="O165" i="3" s="1"/>
  <c r="J164" i="3"/>
  <c r="O164" i="3" s="1"/>
  <c r="O163" i="3"/>
  <c r="K12" i="8"/>
  <c r="J16" i="8" s="1"/>
  <c r="K11" i="8"/>
  <c r="K16" i="8" s="1"/>
  <c r="L16" i="8" s="1"/>
  <c r="E8" i="8"/>
  <c r="D8" i="8"/>
  <c r="C8" i="8"/>
  <c r="E7" i="8"/>
  <c r="D7" i="8"/>
  <c r="C7" i="8"/>
  <c r="W153" i="8"/>
  <c r="W152" i="8"/>
  <c r="W147" i="8"/>
  <c r="W146" i="8"/>
  <c r="W144" i="8"/>
  <c r="W143" i="8"/>
  <c r="W141" i="8"/>
  <c r="W140" i="8"/>
  <c r="W138" i="8"/>
  <c r="W137" i="8"/>
  <c r="W135" i="8"/>
  <c r="W134" i="8"/>
  <c r="W132" i="8"/>
  <c r="W131" i="8"/>
  <c r="W130" i="8"/>
  <c r="W129" i="8"/>
  <c r="W127" i="8"/>
  <c r="W126" i="8"/>
  <c r="W125" i="8"/>
  <c r="W124" i="8"/>
  <c r="BG403" i="3"/>
  <c r="BI403" i="3"/>
  <c r="BG404" i="3"/>
  <c r="BI404" i="3"/>
  <c r="BG405" i="3"/>
  <c r="BI405" i="3"/>
  <c r="BG406" i="3"/>
  <c r="BI406" i="3"/>
  <c r="BG407" i="3"/>
  <c r="BI407" i="3"/>
  <c r="BG408" i="3"/>
  <c r="BI408" i="3"/>
  <c r="BG409" i="3"/>
  <c r="BI409" i="3"/>
  <c r="BG410" i="3"/>
  <c r="BI410" i="3"/>
  <c r="BG411" i="3"/>
  <c r="BI411" i="3"/>
  <c r="BI402" i="3"/>
  <c r="BG402" i="3"/>
  <c r="BE403" i="3"/>
  <c r="BE404" i="3"/>
  <c r="BE405" i="3"/>
  <c r="BE406" i="3"/>
  <c r="BE407" i="3"/>
  <c r="BE408" i="3"/>
  <c r="BE409" i="3"/>
  <c r="BE410" i="3"/>
  <c r="BE411" i="3"/>
  <c r="BE402" i="3"/>
  <c r="BC403" i="3"/>
  <c r="BC404" i="3"/>
  <c r="BC405" i="3"/>
  <c r="BC406" i="3"/>
  <c r="BC407" i="3"/>
  <c r="BC408" i="3"/>
  <c r="BC409" i="3"/>
  <c r="BC410" i="3"/>
  <c r="BC411" i="3"/>
  <c r="BC402" i="3"/>
  <c r="E82" i="3"/>
  <c r="E83" i="3"/>
  <c r="B87" i="3"/>
  <c r="C87" i="3"/>
  <c r="D87" i="3"/>
  <c r="D95" i="3"/>
  <c r="C95" i="3"/>
  <c r="B95" i="3"/>
  <c r="E91" i="3"/>
  <c r="E90" i="3"/>
  <c r="D79" i="3"/>
  <c r="D78" i="3"/>
  <c r="D77" i="3"/>
  <c r="D76" i="3"/>
  <c r="D75" i="3"/>
  <c r="D74" i="3"/>
  <c r="D73" i="3"/>
  <c r="D72" i="3"/>
  <c r="D71" i="3"/>
  <c r="D113" i="3"/>
  <c r="D112" i="3"/>
  <c r="D111" i="3"/>
  <c r="D110" i="3"/>
  <c r="D109" i="3"/>
  <c r="D108" i="3"/>
  <c r="D107" i="3"/>
  <c r="D106" i="3"/>
  <c r="D105" i="3"/>
  <c r="D70" i="3"/>
  <c r="AT382" i="3"/>
  <c r="AT381" i="3"/>
  <c r="AT380" i="3"/>
  <c r="AT379" i="3"/>
  <c r="AT378" i="3"/>
  <c r="AT377" i="3"/>
  <c r="AT376" i="3"/>
  <c r="AT375" i="3"/>
  <c r="AT374" i="3"/>
  <c r="AS382" i="3"/>
  <c r="AS381" i="3"/>
  <c r="AS380" i="3"/>
  <c r="AS379" i="3"/>
  <c r="AS378" i="3"/>
  <c r="AS377" i="3"/>
  <c r="AS376" i="3"/>
  <c r="AS375" i="3"/>
  <c r="AS374" i="3"/>
  <c r="AR382" i="3"/>
  <c r="AR381" i="3"/>
  <c r="AR380" i="3"/>
  <c r="AR379" i="3"/>
  <c r="AR378" i="3"/>
  <c r="AR377" i="3"/>
  <c r="AR376" i="3"/>
  <c r="AR375" i="3"/>
  <c r="AR374" i="3"/>
  <c r="BA387" i="3"/>
  <c r="BA396" i="3"/>
  <c r="BA395" i="3"/>
  <c r="BA394" i="3"/>
  <c r="BA393" i="3"/>
  <c r="BA392" i="3"/>
  <c r="BA391" i="3"/>
  <c r="BA390" i="3"/>
  <c r="BA389" i="3"/>
  <c r="BA388" i="3"/>
  <c r="AW396" i="3"/>
  <c r="AW395" i="3"/>
  <c r="AW394" i="3"/>
  <c r="AW393" i="3"/>
  <c r="AW392" i="3"/>
  <c r="AW391" i="3"/>
  <c r="AW390" i="3"/>
  <c r="AW389" i="3"/>
  <c r="AW388" i="3"/>
  <c r="AW387" i="3"/>
  <c r="AQ382" i="3"/>
  <c r="AQ381" i="3"/>
  <c r="AQ380" i="3"/>
  <c r="AQ379" i="3"/>
  <c r="AQ378" i="3"/>
  <c r="AQ377" i="3"/>
  <c r="AQ376" i="3"/>
  <c r="AQ375" i="3"/>
  <c r="AQ374" i="3"/>
  <c r="AR372" i="3"/>
  <c r="AT372" i="3"/>
  <c r="AS372" i="3"/>
  <c r="AT373" i="3"/>
  <c r="AS373" i="3"/>
  <c r="AR373" i="3"/>
  <c r="AQ373" i="3"/>
  <c r="AH268" i="3"/>
  <c r="AI268" i="3"/>
  <c r="AJ268" i="3"/>
  <c r="AK268" i="3"/>
  <c r="AL268" i="3"/>
  <c r="AM268" i="3"/>
  <c r="AN268" i="3"/>
  <c r="AH269" i="3"/>
  <c r="AI269" i="3"/>
  <c r="AJ269" i="3"/>
  <c r="AK269" i="3"/>
  <c r="AL269" i="3"/>
  <c r="AM269" i="3"/>
  <c r="AN269" i="3"/>
  <c r="AH270" i="3"/>
  <c r="AI270" i="3"/>
  <c r="AJ270" i="3"/>
  <c r="AK270" i="3"/>
  <c r="AL270" i="3"/>
  <c r="AM270" i="3"/>
  <c r="AN270" i="3"/>
  <c r="AH271" i="3"/>
  <c r="AI271" i="3"/>
  <c r="AJ271" i="3"/>
  <c r="AK271" i="3"/>
  <c r="AL271" i="3"/>
  <c r="AM271" i="3"/>
  <c r="AN271" i="3"/>
  <c r="AH272" i="3"/>
  <c r="AI272" i="3"/>
  <c r="AJ272" i="3"/>
  <c r="AK272" i="3"/>
  <c r="AL272" i="3"/>
  <c r="AM272" i="3"/>
  <c r="AN272" i="3"/>
  <c r="AH273" i="3"/>
  <c r="AI273" i="3"/>
  <c r="AJ273" i="3"/>
  <c r="AK273" i="3"/>
  <c r="AL273" i="3"/>
  <c r="AM273" i="3"/>
  <c r="AN273" i="3"/>
  <c r="AH274" i="3"/>
  <c r="AI274" i="3"/>
  <c r="AJ274" i="3"/>
  <c r="AK274" i="3"/>
  <c r="AL274" i="3"/>
  <c r="AM274" i="3"/>
  <c r="AN274" i="3"/>
  <c r="AH275" i="3"/>
  <c r="AI275" i="3"/>
  <c r="AJ275" i="3"/>
  <c r="AK275" i="3"/>
  <c r="AL275" i="3"/>
  <c r="AM275" i="3"/>
  <c r="AN275" i="3"/>
  <c r="AH276" i="3"/>
  <c r="AI276" i="3"/>
  <c r="AJ276" i="3"/>
  <c r="AK276" i="3"/>
  <c r="AL276" i="3"/>
  <c r="AM276" i="3"/>
  <c r="AN276" i="3"/>
  <c r="AH277" i="3"/>
  <c r="AI277" i="3"/>
  <c r="AJ277" i="3"/>
  <c r="AK277" i="3"/>
  <c r="AL277" i="3"/>
  <c r="AM277" i="3"/>
  <c r="AN277" i="3"/>
  <c r="AH278" i="3"/>
  <c r="AI278" i="3"/>
  <c r="AJ278" i="3"/>
  <c r="AK278" i="3"/>
  <c r="AL278" i="3"/>
  <c r="AM278" i="3"/>
  <c r="AN278" i="3"/>
  <c r="AH279" i="3"/>
  <c r="AI279" i="3"/>
  <c r="AJ279" i="3"/>
  <c r="AK279" i="3"/>
  <c r="AL279" i="3"/>
  <c r="AM279" i="3"/>
  <c r="AN279" i="3"/>
  <c r="AH280" i="3"/>
  <c r="AI280" i="3"/>
  <c r="AJ280" i="3"/>
  <c r="AK280" i="3"/>
  <c r="AL280" i="3"/>
  <c r="AM280" i="3"/>
  <c r="AN280" i="3"/>
  <c r="AH281" i="3"/>
  <c r="AI281" i="3"/>
  <c r="AJ281" i="3"/>
  <c r="AK281" i="3"/>
  <c r="AL281" i="3"/>
  <c r="AM281" i="3"/>
  <c r="AN281" i="3"/>
  <c r="AH282" i="3"/>
  <c r="AI282" i="3"/>
  <c r="AJ282" i="3"/>
  <c r="AK282" i="3"/>
  <c r="AL282" i="3"/>
  <c r="AM282" i="3"/>
  <c r="AN282" i="3"/>
  <c r="AH283" i="3"/>
  <c r="AI283" i="3"/>
  <c r="AJ283" i="3"/>
  <c r="AK283" i="3"/>
  <c r="AL283" i="3"/>
  <c r="AM283" i="3"/>
  <c r="AN283" i="3"/>
  <c r="AH284" i="3"/>
  <c r="AI284" i="3"/>
  <c r="AJ284" i="3"/>
  <c r="AK284" i="3"/>
  <c r="AL284" i="3"/>
  <c r="AM284" i="3"/>
  <c r="AN284" i="3"/>
  <c r="AH285" i="3"/>
  <c r="AI285" i="3"/>
  <c r="AJ285" i="3"/>
  <c r="AK285" i="3"/>
  <c r="AL285" i="3"/>
  <c r="AM285" i="3"/>
  <c r="AN285" i="3"/>
  <c r="AH286" i="3"/>
  <c r="AI286" i="3"/>
  <c r="AJ286" i="3"/>
  <c r="AK286" i="3"/>
  <c r="AL286" i="3"/>
  <c r="AM286" i="3"/>
  <c r="AN286" i="3"/>
  <c r="AH287" i="3"/>
  <c r="AI287" i="3"/>
  <c r="AJ287" i="3"/>
  <c r="AK287" i="3"/>
  <c r="AL287" i="3"/>
  <c r="AM287" i="3"/>
  <c r="AN287" i="3"/>
  <c r="AH288" i="3"/>
  <c r="AI288" i="3"/>
  <c r="AJ288" i="3"/>
  <c r="AK288" i="3"/>
  <c r="AL288" i="3"/>
  <c r="AM288" i="3"/>
  <c r="AN288" i="3"/>
  <c r="AH289" i="3"/>
  <c r="AI289" i="3"/>
  <c r="AJ289" i="3"/>
  <c r="AK289" i="3"/>
  <c r="AL289" i="3"/>
  <c r="AM289" i="3"/>
  <c r="AN289" i="3"/>
  <c r="AH290" i="3"/>
  <c r="AI290" i="3"/>
  <c r="AJ290" i="3"/>
  <c r="AK290" i="3"/>
  <c r="AL290" i="3"/>
  <c r="AM290" i="3"/>
  <c r="AN290" i="3"/>
  <c r="AH291" i="3"/>
  <c r="AI291" i="3"/>
  <c r="AJ291" i="3"/>
  <c r="AK291" i="3"/>
  <c r="AL291" i="3"/>
  <c r="AM291" i="3"/>
  <c r="AN291" i="3"/>
  <c r="AH292" i="3"/>
  <c r="AI292" i="3"/>
  <c r="AJ292" i="3"/>
  <c r="AK292" i="3"/>
  <c r="AL292" i="3"/>
  <c r="AM292" i="3"/>
  <c r="AN292" i="3"/>
  <c r="AH293" i="3"/>
  <c r="AI293" i="3"/>
  <c r="AJ293" i="3"/>
  <c r="AK293" i="3"/>
  <c r="AL293" i="3"/>
  <c r="AM293" i="3"/>
  <c r="AN293" i="3"/>
  <c r="AH294" i="3"/>
  <c r="AI294" i="3"/>
  <c r="AJ294" i="3"/>
  <c r="AK294" i="3"/>
  <c r="AL294" i="3"/>
  <c r="AM294" i="3"/>
  <c r="AN294" i="3"/>
  <c r="AH295" i="3"/>
  <c r="AI295" i="3"/>
  <c r="AJ295" i="3"/>
  <c r="AK295" i="3"/>
  <c r="AL295" i="3"/>
  <c r="AM295" i="3"/>
  <c r="AN295" i="3"/>
  <c r="AH296" i="3"/>
  <c r="AI296" i="3"/>
  <c r="AJ296" i="3"/>
  <c r="AK296" i="3"/>
  <c r="AL296" i="3"/>
  <c r="AM296" i="3"/>
  <c r="AN296" i="3"/>
  <c r="AH297" i="3"/>
  <c r="AI297" i="3"/>
  <c r="AJ297" i="3"/>
  <c r="AK297" i="3"/>
  <c r="AL297" i="3"/>
  <c r="AM297" i="3"/>
  <c r="AN297" i="3"/>
  <c r="AH298" i="3"/>
  <c r="AI298" i="3"/>
  <c r="AJ298" i="3"/>
  <c r="AK298" i="3"/>
  <c r="AL298" i="3"/>
  <c r="AM298" i="3"/>
  <c r="AN298" i="3"/>
  <c r="AH299" i="3"/>
  <c r="AI299" i="3"/>
  <c r="AJ299" i="3"/>
  <c r="AK299" i="3"/>
  <c r="AL299" i="3"/>
  <c r="AM299" i="3"/>
  <c r="AN299" i="3"/>
  <c r="AH300" i="3"/>
  <c r="AI300" i="3"/>
  <c r="AJ300" i="3"/>
  <c r="AK300" i="3"/>
  <c r="AL300" i="3"/>
  <c r="AM300" i="3"/>
  <c r="AN300" i="3"/>
  <c r="AH301" i="3"/>
  <c r="AI301" i="3"/>
  <c r="AJ301" i="3"/>
  <c r="AK301" i="3"/>
  <c r="AL301" i="3"/>
  <c r="AM301" i="3"/>
  <c r="AN301" i="3"/>
  <c r="AH302" i="3"/>
  <c r="AI302" i="3"/>
  <c r="AJ302" i="3"/>
  <c r="AK302" i="3"/>
  <c r="AL302" i="3"/>
  <c r="AM302" i="3"/>
  <c r="AN302" i="3"/>
  <c r="AH303" i="3"/>
  <c r="AI303" i="3"/>
  <c r="AJ303" i="3"/>
  <c r="AK303" i="3"/>
  <c r="AL303" i="3"/>
  <c r="AM303" i="3"/>
  <c r="AN303" i="3"/>
  <c r="AH304" i="3"/>
  <c r="AI304" i="3"/>
  <c r="AJ304" i="3"/>
  <c r="AK304" i="3"/>
  <c r="AL304" i="3"/>
  <c r="AM304" i="3"/>
  <c r="AN304" i="3"/>
  <c r="AH305" i="3"/>
  <c r="AI305" i="3"/>
  <c r="AJ305" i="3"/>
  <c r="AK305" i="3"/>
  <c r="AL305" i="3"/>
  <c r="AM305" i="3"/>
  <c r="AN305" i="3"/>
  <c r="AH306" i="3"/>
  <c r="AI306" i="3"/>
  <c r="AJ306" i="3"/>
  <c r="AK306" i="3"/>
  <c r="AL306" i="3"/>
  <c r="AM306" i="3"/>
  <c r="AN306" i="3"/>
  <c r="AH307" i="3"/>
  <c r="AI307" i="3"/>
  <c r="AJ307" i="3"/>
  <c r="AK307" i="3"/>
  <c r="AL307" i="3"/>
  <c r="AM307" i="3"/>
  <c r="AN307" i="3"/>
  <c r="AH308" i="3"/>
  <c r="AI308" i="3"/>
  <c r="AJ308" i="3"/>
  <c r="AK308" i="3"/>
  <c r="AL308" i="3"/>
  <c r="AM308" i="3"/>
  <c r="AN308" i="3"/>
  <c r="AH309" i="3"/>
  <c r="AI309" i="3"/>
  <c r="AJ309" i="3"/>
  <c r="AK309" i="3"/>
  <c r="AL309" i="3"/>
  <c r="AM309" i="3"/>
  <c r="AN309" i="3"/>
  <c r="AH310" i="3"/>
  <c r="AI310" i="3"/>
  <c r="AJ310" i="3"/>
  <c r="AK310" i="3"/>
  <c r="AL310" i="3"/>
  <c r="AM310" i="3"/>
  <c r="AN310" i="3"/>
  <c r="AH311" i="3"/>
  <c r="AI311" i="3"/>
  <c r="AJ311" i="3"/>
  <c r="AK311" i="3"/>
  <c r="AL311" i="3"/>
  <c r="AM311" i="3"/>
  <c r="AN311" i="3"/>
  <c r="AH312" i="3"/>
  <c r="AI312" i="3"/>
  <c r="AJ312" i="3"/>
  <c r="AK312" i="3"/>
  <c r="AL312" i="3"/>
  <c r="AM312" i="3"/>
  <c r="AN312" i="3"/>
  <c r="AH313" i="3"/>
  <c r="AI313" i="3"/>
  <c r="AJ313" i="3"/>
  <c r="AK313" i="3"/>
  <c r="AL313" i="3"/>
  <c r="AM313" i="3"/>
  <c r="AN313" i="3"/>
  <c r="AH314" i="3"/>
  <c r="AI314" i="3"/>
  <c r="AJ314" i="3"/>
  <c r="AK314" i="3"/>
  <c r="AL314" i="3"/>
  <c r="AM314" i="3"/>
  <c r="AN314" i="3"/>
  <c r="AH315" i="3"/>
  <c r="AI315" i="3"/>
  <c r="AJ315" i="3"/>
  <c r="AK315" i="3"/>
  <c r="AL315" i="3"/>
  <c r="AM315" i="3"/>
  <c r="AN315" i="3"/>
  <c r="AH316" i="3"/>
  <c r="AI316" i="3"/>
  <c r="AJ316" i="3"/>
  <c r="AK316" i="3"/>
  <c r="AL316" i="3"/>
  <c r="AM316" i="3"/>
  <c r="AN316" i="3"/>
  <c r="AH317" i="3"/>
  <c r="AI317" i="3"/>
  <c r="AJ317" i="3"/>
  <c r="AK317" i="3"/>
  <c r="AL317" i="3"/>
  <c r="AM317" i="3"/>
  <c r="AN317" i="3"/>
  <c r="AH318" i="3"/>
  <c r="AI318" i="3"/>
  <c r="AJ318" i="3"/>
  <c r="AK318" i="3"/>
  <c r="AL318" i="3"/>
  <c r="AM318" i="3"/>
  <c r="AN318" i="3"/>
  <c r="AH319" i="3"/>
  <c r="AI319" i="3"/>
  <c r="AJ319" i="3"/>
  <c r="AK319" i="3"/>
  <c r="AL319" i="3"/>
  <c r="AM319" i="3"/>
  <c r="AN319" i="3"/>
  <c r="AH320" i="3"/>
  <c r="AI320" i="3"/>
  <c r="AJ320" i="3"/>
  <c r="AK320" i="3"/>
  <c r="AL320" i="3"/>
  <c r="AM320" i="3"/>
  <c r="AN320" i="3"/>
  <c r="AH321" i="3"/>
  <c r="AI321" i="3"/>
  <c r="AJ321" i="3"/>
  <c r="AK321" i="3"/>
  <c r="AL321" i="3"/>
  <c r="AM321" i="3"/>
  <c r="AN321" i="3"/>
  <c r="AH322" i="3"/>
  <c r="AI322" i="3"/>
  <c r="AJ322" i="3"/>
  <c r="AK322" i="3"/>
  <c r="AL322" i="3"/>
  <c r="AM322" i="3"/>
  <c r="AN322" i="3"/>
  <c r="AH323" i="3"/>
  <c r="AI323" i="3"/>
  <c r="AJ323" i="3"/>
  <c r="AK323" i="3"/>
  <c r="AL323" i="3"/>
  <c r="AM323" i="3"/>
  <c r="AN323" i="3"/>
  <c r="AH324" i="3"/>
  <c r="AI324" i="3"/>
  <c r="AJ324" i="3"/>
  <c r="AK324" i="3"/>
  <c r="AL324" i="3"/>
  <c r="AM324" i="3"/>
  <c r="AN324" i="3"/>
  <c r="AH325" i="3"/>
  <c r="AI325" i="3"/>
  <c r="AJ325" i="3"/>
  <c r="AK325" i="3"/>
  <c r="AL325" i="3"/>
  <c r="AM325" i="3"/>
  <c r="AN325" i="3"/>
  <c r="AH326" i="3"/>
  <c r="AI326" i="3"/>
  <c r="AJ326" i="3"/>
  <c r="AK326" i="3"/>
  <c r="AL326" i="3"/>
  <c r="AM326" i="3"/>
  <c r="AN326" i="3"/>
  <c r="AH327" i="3"/>
  <c r="AI327" i="3"/>
  <c r="AJ327" i="3"/>
  <c r="AK327" i="3"/>
  <c r="AL327" i="3"/>
  <c r="AM327" i="3"/>
  <c r="AN327" i="3"/>
  <c r="AH328" i="3"/>
  <c r="AI328" i="3"/>
  <c r="AJ328" i="3"/>
  <c r="AK328" i="3"/>
  <c r="AL328" i="3"/>
  <c r="AM328" i="3"/>
  <c r="AN328" i="3"/>
  <c r="AH329" i="3"/>
  <c r="AI329" i="3"/>
  <c r="AJ329" i="3"/>
  <c r="AK329" i="3"/>
  <c r="AL329" i="3"/>
  <c r="AM329" i="3"/>
  <c r="AN329" i="3"/>
  <c r="AH330" i="3"/>
  <c r="AI330" i="3"/>
  <c r="AJ330" i="3"/>
  <c r="AK330" i="3"/>
  <c r="AL330" i="3"/>
  <c r="AM330" i="3"/>
  <c r="AN330" i="3"/>
  <c r="AH331" i="3"/>
  <c r="AI331" i="3"/>
  <c r="AJ331" i="3"/>
  <c r="AK331" i="3"/>
  <c r="AL331" i="3"/>
  <c r="AM331" i="3"/>
  <c r="AN331" i="3"/>
  <c r="AH332" i="3"/>
  <c r="AI332" i="3"/>
  <c r="AJ332" i="3"/>
  <c r="AK332" i="3"/>
  <c r="AL332" i="3"/>
  <c r="AM332" i="3"/>
  <c r="AN332" i="3"/>
  <c r="AH333" i="3"/>
  <c r="AI333" i="3"/>
  <c r="AJ333" i="3"/>
  <c r="AK333" i="3"/>
  <c r="AL333" i="3"/>
  <c r="AM333" i="3"/>
  <c r="AN333" i="3"/>
  <c r="AH334" i="3"/>
  <c r="AI334" i="3"/>
  <c r="AJ334" i="3"/>
  <c r="AK334" i="3"/>
  <c r="AL334" i="3"/>
  <c r="AM334" i="3"/>
  <c r="AN334" i="3"/>
  <c r="AH335" i="3"/>
  <c r="AI335" i="3"/>
  <c r="AJ335" i="3"/>
  <c r="AK335" i="3"/>
  <c r="AL335" i="3"/>
  <c r="AM335" i="3"/>
  <c r="AN335" i="3"/>
  <c r="AH336" i="3"/>
  <c r="AI336" i="3"/>
  <c r="AJ336" i="3"/>
  <c r="AK336" i="3"/>
  <c r="AL336" i="3"/>
  <c r="AM336" i="3"/>
  <c r="AN336" i="3"/>
  <c r="AH337" i="3"/>
  <c r="AI337" i="3"/>
  <c r="AJ337" i="3"/>
  <c r="AK337" i="3"/>
  <c r="AL337" i="3"/>
  <c r="AM337" i="3"/>
  <c r="AN337" i="3"/>
  <c r="AH338" i="3"/>
  <c r="AI338" i="3"/>
  <c r="AJ338" i="3"/>
  <c r="AK338" i="3"/>
  <c r="AL338" i="3"/>
  <c r="AM338" i="3"/>
  <c r="AN338" i="3"/>
  <c r="AH339" i="3"/>
  <c r="AI339" i="3"/>
  <c r="AJ339" i="3"/>
  <c r="AK339" i="3"/>
  <c r="AL339" i="3"/>
  <c r="AM339" i="3"/>
  <c r="AN339" i="3"/>
  <c r="AH340" i="3"/>
  <c r="AI340" i="3"/>
  <c r="AJ340" i="3"/>
  <c r="AK340" i="3"/>
  <c r="AL340" i="3"/>
  <c r="AM340" i="3"/>
  <c r="AN340" i="3"/>
  <c r="AH341" i="3"/>
  <c r="AI341" i="3"/>
  <c r="AJ341" i="3"/>
  <c r="AK341" i="3"/>
  <c r="AL341" i="3"/>
  <c r="AM341" i="3"/>
  <c r="AN341" i="3"/>
  <c r="AH342" i="3"/>
  <c r="AI342" i="3"/>
  <c r="AJ342" i="3"/>
  <c r="AK342" i="3"/>
  <c r="AL342" i="3"/>
  <c r="AM342" i="3"/>
  <c r="AN342" i="3"/>
  <c r="AH343" i="3"/>
  <c r="AI343" i="3"/>
  <c r="AJ343" i="3"/>
  <c r="AK343" i="3"/>
  <c r="AL343" i="3"/>
  <c r="AM343" i="3"/>
  <c r="AN343" i="3"/>
  <c r="AH344" i="3"/>
  <c r="AI344" i="3"/>
  <c r="AJ344" i="3"/>
  <c r="AK344" i="3"/>
  <c r="AL344" i="3"/>
  <c r="AM344" i="3"/>
  <c r="AN344" i="3"/>
  <c r="AH345" i="3"/>
  <c r="AI345" i="3"/>
  <c r="AJ345" i="3"/>
  <c r="AK345" i="3"/>
  <c r="AL345" i="3"/>
  <c r="AM345" i="3"/>
  <c r="AN345" i="3"/>
  <c r="AH346" i="3"/>
  <c r="AI346" i="3"/>
  <c r="AJ346" i="3"/>
  <c r="AK346" i="3"/>
  <c r="AL346" i="3"/>
  <c r="AM346" i="3"/>
  <c r="AN346" i="3"/>
  <c r="AH347" i="3"/>
  <c r="AI347" i="3"/>
  <c r="AJ347" i="3"/>
  <c r="AK347" i="3"/>
  <c r="AL347" i="3"/>
  <c r="AM347" i="3"/>
  <c r="AN347" i="3"/>
  <c r="AH348" i="3"/>
  <c r="AI348" i="3"/>
  <c r="AJ348" i="3"/>
  <c r="AK348" i="3"/>
  <c r="AL348" i="3"/>
  <c r="AM348" i="3"/>
  <c r="AN348" i="3"/>
  <c r="AH349" i="3"/>
  <c r="AI349" i="3"/>
  <c r="AJ349" i="3"/>
  <c r="AK349" i="3"/>
  <c r="AL349" i="3"/>
  <c r="AM349" i="3"/>
  <c r="AN349" i="3"/>
  <c r="AH350" i="3"/>
  <c r="AI350" i="3"/>
  <c r="AJ350" i="3"/>
  <c r="AK350" i="3"/>
  <c r="AL350" i="3"/>
  <c r="AM350" i="3"/>
  <c r="AN350" i="3"/>
  <c r="AH351" i="3"/>
  <c r="AI351" i="3"/>
  <c r="AJ351" i="3"/>
  <c r="AK351" i="3"/>
  <c r="AL351" i="3"/>
  <c r="AM351" i="3"/>
  <c r="AN351" i="3"/>
  <c r="AH352" i="3"/>
  <c r="AI352" i="3"/>
  <c r="AJ352" i="3"/>
  <c r="AK352" i="3"/>
  <c r="AL352" i="3"/>
  <c r="AM352" i="3"/>
  <c r="AN352" i="3"/>
  <c r="AH353" i="3"/>
  <c r="AI353" i="3"/>
  <c r="AJ353" i="3"/>
  <c r="AK353" i="3"/>
  <c r="AL353" i="3"/>
  <c r="AM353" i="3"/>
  <c r="AN353" i="3"/>
  <c r="AH354" i="3"/>
  <c r="AI354" i="3"/>
  <c r="AJ354" i="3"/>
  <c r="AK354" i="3"/>
  <c r="AL354" i="3"/>
  <c r="AM354" i="3"/>
  <c r="AN354" i="3"/>
  <c r="AH355" i="3"/>
  <c r="AI355" i="3"/>
  <c r="AJ355" i="3"/>
  <c r="AK355" i="3"/>
  <c r="AL355" i="3"/>
  <c r="AM355" i="3"/>
  <c r="AN355" i="3"/>
  <c r="AH356" i="3"/>
  <c r="AI356" i="3"/>
  <c r="AJ356" i="3"/>
  <c r="AK356" i="3"/>
  <c r="AL356" i="3"/>
  <c r="AM356" i="3"/>
  <c r="AN356" i="3"/>
  <c r="AH357" i="3"/>
  <c r="AI357" i="3"/>
  <c r="AJ357" i="3"/>
  <c r="AK357" i="3"/>
  <c r="AL357" i="3"/>
  <c r="AM357" i="3"/>
  <c r="AN357" i="3"/>
  <c r="AH358" i="3"/>
  <c r="AI358" i="3"/>
  <c r="AJ358" i="3"/>
  <c r="AK358" i="3"/>
  <c r="AL358" i="3"/>
  <c r="AM358" i="3"/>
  <c r="AN358" i="3"/>
  <c r="AH359" i="3"/>
  <c r="AI359" i="3"/>
  <c r="AJ359" i="3"/>
  <c r="AK359" i="3"/>
  <c r="AL359" i="3"/>
  <c r="AM359" i="3"/>
  <c r="AN359" i="3"/>
  <c r="AH360" i="3"/>
  <c r="AI360" i="3"/>
  <c r="AJ360" i="3"/>
  <c r="AK360" i="3"/>
  <c r="AL360" i="3"/>
  <c r="AM360" i="3"/>
  <c r="AN360" i="3"/>
  <c r="AH361" i="3"/>
  <c r="AI361" i="3"/>
  <c r="AJ361" i="3"/>
  <c r="AK361" i="3"/>
  <c r="AL361" i="3"/>
  <c r="AM361" i="3"/>
  <c r="AN361" i="3"/>
  <c r="AH362" i="3"/>
  <c r="AI362" i="3"/>
  <c r="AJ362" i="3"/>
  <c r="AK362" i="3"/>
  <c r="AL362" i="3"/>
  <c r="AM362" i="3"/>
  <c r="AN362" i="3"/>
  <c r="AH363" i="3"/>
  <c r="AI363" i="3"/>
  <c r="AJ363" i="3"/>
  <c r="AK363" i="3"/>
  <c r="AL363" i="3"/>
  <c r="AM363" i="3"/>
  <c r="AN363" i="3"/>
  <c r="AH364" i="3"/>
  <c r="AI364" i="3"/>
  <c r="AJ364" i="3"/>
  <c r="AK364" i="3"/>
  <c r="AL364" i="3"/>
  <c r="AM364" i="3"/>
  <c r="AN364" i="3"/>
  <c r="AH365" i="3"/>
  <c r="AI365" i="3"/>
  <c r="AJ365" i="3"/>
  <c r="AK365" i="3"/>
  <c r="AL365" i="3"/>
  <c r="AM365" i="3"/>
  <c r="AN365" i="3"/>
  <c r="AH267" i="3"/>
  <c r="AN267" i="3"/>
  <c r="AM267" i="3"/>
  <c r="AL267" i="3"/>
  <c r="AK267" i="3"/>
  <c r="AJ267" i="3"/>
  <c r="AI267" i="3"/>
  <c r="O22" i="8"/>
  <c r="P22" i="8"/>
  <c r="Q22" i="8"/>
  <c r="R22" i="8"/>
  <c r="S22" i="8"/>
  <c r="N23" i="8"/>
  <c r="O23" i="8" s="1"/>
  <c r="S20" i="8"/>
  <c r="R20" i="8"/>
  <c r="R21" i="8"/>
  <c r="S21" i="8"/>
  <c r="Q21" i="8"/>
  <c r="I16" i="8"/>
  <c r="H16" i="8"/>
  <c r="G16" i="8"/>
  <c r="B7" i="8"/>
  <c r="C22" i="3"/>
  <c r="W150" i="8" l="1"/>
  <c r="W151" i="8"/>
  <c r="W136" i="8"/>
  <c r="W149" i="8"/>
  <c r="W133" i="8"/>
  <c r="W139" i="8"/>
  <c r="P23" i="8"/>
  <c r="W145" i="8"/>
  <c r="W142" i="8"/>
  <c r="W128" i="8"/>
  <c r="W123" i="8"/>
  <c r="S23" i="8"/>
  <c r="R23" i="8"/>
  <c r="N24" i="8"/>
  <c r="Q23" i="8"/>
  <c r="BI399" i="3"/>
  <c r="BE399" i="3"/>
  <c r="AQ368" i="3"/>
  <c r="AY384" i="3" s="1"/>
  <c r="M16" i="8"/>
  <c r="E66" i="3"/>
  <c r="E87" i="3" s="1"/>
  <c r="C107" i="3"/>
  <c r="W148" i="8" l="1"/>
  <c r="N25" i="8"/>
  <c r="O24" i="8"/>
  <c r="S24" i="8"/>
  <c r="R24" i="8"/>
  <c r="P24" i="8"/>
  <c r="Q24" i="8"/>
  <c r="E95" i="3"/>
  <c r="AE293" i="3"/>
  <c r="AD293" i="3"/>
  <c r="AC293" i="3"/>
  <c r="AA293" i="3"/>
  <c r="Z293" i="3"/>
  <c r="Y293" i="3"/>
  <c r="U293" i="3" s="1"/>
  <c r="X293" i="3"/>
  <c r="T293" i="3" s="1"/>
  <c r="AE292" i="3"/>
  <c r="AD292" i="3"/>
  <c r="AC292" i="3"/>
  <c r="AA292" i="3"/>
  <c r="Z292" i="3"/>
  <c r="Y292" i="3"/>
  <c r="U292" i="3" s="1"/>
  <c r="X292" i="3"/>
  <c r="T292" i="3" s="1"/>
  <c r="AE291" i="3"/>
  <c r="AD291" i="3"/>
  <c r="AC291" i="3"/>
  <c r="AA291" i="3"/>
  <c r="Z291" i="3"/>
  <c r="Y291" i="3"/>
  <c r="U291" i="3" s="1"/>
  <c r="X291" i="3"/>
  <c r="T291" i="3" s="1"/>
  <c r="AE290" i="3"/>
  <c r="AD290" i="3"/>
  <c r="AC290" i="3"/>
  <c r="AA290" i="3"/>
  <c r="Z290" i="3"/>
  <c r="Y290" i="3"/>
  <c r="U290" i="3" s="1"/>
  <c r="X290" i="3"/>
  <c r="T290" i="3" s="1"/>
  <c r="AE289" i="3"/>
  <c r="AD289" i="3"/>
  <c r="AC289" i="3"/>
  <c r="AA289" i="3"/>
  <c r="Z289" i="3"/>
  <c r="Y289" i="3"/>
  <c r="U289" i="3" s="1"/>
  <c r="X289" i="3"/>
  <c r="T289" i="3" s="1"/>
  <c r="AE288" i="3"/>
  <c r="AD288" i="3"/>
  <c r="AC288" i="3"/>
  <c r="AA288" i="3"/>
  <c r="Z288" i="3"/>
  <c r="Y288" i="3"/>
  <c r="U288" i="3" s="1"/>
  <c r="X288" i="3"/>
  <c r="T288" i="3" s="1"/>
  <c r="AE287" i="3"/>
  <c r="AD287" i="3"/>
  <c r="AC287" i="3"/>
  <c r="AA287" i="3"/>
  <c r="Z287" i="3"/>
  <c r="Y287" i="3"/>
  <c r="U287" i="3" s="1"/>
  <c r="X287" i="3"/>
  <c r="T287" i="3" s="1"/>
  <c r="AE286" i="3"/>
  <c r="AD286" i="3"/>
  <c r="AC286" i="3"/>
  <c r="AA286" i="3"/>
  <c r="Z286" i="3"/>
  <c r="Y286" i="3"/>
  <c r="U286" i="3" s="1"/>
  <c r="X286" i="3"/>
  <c r="T286" i="3" s="1"/>
  <c r="AE285" i="3"/>
  <c r="AD285" i="3"/>
  <c r="AC285" i="3"/>
  <c r="AA285" i="3"/>
  <c r="Z285" i="3"/>
  <c r="Y285" i="3"/>
  <c r="U285" i="3" s="1"/>
  <c r="X285" i="3"/>
  <c r="T285" i="3" s="1"/>
  <c r="AE284" i="3"/>
  <c r="AD284" i="3"/>
  <c r="AC284" i="3"/>
  <c r="AA284" i="3"/>
  <c r="Z284" i="3"/>
  <c r="Y284" i="3"/>
  <c r="U284" i="3" s="1"/>
  <c r="X284" i="3"/>
  <c r="T284" i="3" s="1"/>
  <c r="AE283" i="3"/>
  <c r="AD283" i="3"/>
  <c r="AC283" i="3"/>
  <c r="AA283" i="3"/>
  <c r="Z283" i="3"/>
  <c r="Y283" i="3"/>
  <c r="U283" i="3" s="1"/>
  <c r="X283" i="3"/>
  <c r="T283" i="3" s="1"/>
  <c r="AE282" i="3"/>
  <c r="AD282" i="3"/>
  <c r="AC282" i="3"/>
  <c r="AA282" i="3"/>
  <c r="Z282" i="3"/>
  <c r="Y282" i="3"/>
  <c r="U282" i="3" s="1"/>
  <c r="X282" i="3"/>
  <c r="T282" i="3" s="1"/>
  <c r="AE281" i="3"/>
  <c r="AD281" i="3"/>
  <c r="AC281" i="3"/>
  <c r="AA281" i="3"/>
  <c r="Z281" i="3"/>
  <c r="Y281" i="3"/>
  <c r="U281" i="3" s="1"/>
  <c r="X281" i="3"/>
  <c r="T281" i="3" s="1"/>
  <c r="AE280" i="3"/>
  <c r="AD280" i="3"/>
  <c r="AC280" i="3"/>
  <c r="AA280" i="3"/>
  <c r="Z280" i="3"/>
  <c r="Y280" i="3"/>
  <c r="U280" i="3" s="1"/>
  <c r="X280" i="3"/>
  <c r="T280" i="3" s="1"/>
  <c r="AE279" i="3"/>
  <c r="AD279" i="3"/>
  <c r="AC279" i="3"/>
  <c r="AA279" i="3"/>
  <c r="Z279" i="3"/>
  <c r="Y279" i="3"/>
  <c r="U279" i="3" s="1"/>
  <c r="X279" i="3"/>
  <c r="T279" i="3" s="1"/>
  <c r="AE278" i="3"/>
  <c r="AD278" i="3"/>
  <c r="AC278" i="3"/>
  <c r="AA278" i="3"/>
  <c r="Z278" i="3"/>
  <c r="Y278" i="3"/>
  <c r="U278" i="3" s="1"/>
  <c r="X278" i="3"/>
  <c r="T278" i="3" s="1"/>
  <c r="AE277" i="3"/>
  <c r="AD277" i="3"/>
  <c r="AC277" i="3"/>
  <c r="AA277" i="3"/>
  <c r="Z277" i="3"/>
  <c r="Y277" i="3"/>
  <c r="U277" i="3" s="1"/>
  <c r="X277" i="3"/>
  <c r="T277" i="3" s="1"/>
  <c r="AE276" i="3"/>
  <c r="AD276" i="3"/>
  <c r="AC276" i="3"/>
  <c r="AA276" i="3"/>
  <c r="Z276" i="3"/>
  <c r="Y276" i="3"/>
  <c r="U276" i="3" s="1"/>
  <c r="X276" i="3"/>
  <c r="T276" i="3" s="1"/>
  <c r="AE275" i="3"/>
  <c r="AD275" i="3"/>
  <c r="AC275" i="3"/>
  <c r="AA275" i="3"/>
  <c r="Z275" i="3"/>
  <c r="Y275" i="3"/>
  <c r="U275" i="3" s="1"/>
  <c r="X275" i="3"/>
  <c r="T275" i="3" s="1"/>
  <c r="AE274" i="3"/>
  <c r="AD274" i="3"/>
  <c r="AC274" i="3"/>
  <c r="AA274" i="3"/>
  <c r="Z274" i="3"/>
  <c r="Y274" i="3"/>
  <c r="U274" i="3" s="1"/>
  <c r="X274" i="3"/>
  <c r="T274" i="3" s="1"/>
  <c r="AE273" i="3"/>
  <c r="AD273" i="3"/>
  <c r="AC273" i="3"/>
  <c r="AA273" i="3"/>
  <c r="Z273" i="3"/>
  <c r="Y273" i="3"/>
  <c r="U273" i="3" s="1"/>
  <c r="X273" i="3"/>
  <c r="T273" i="3" s="1"/>
  <c r="AE272" i="3"/>
  <c r="AD272" i="3"/>
  <c r="AC272" i="3"/>
  <c r="AA272" i="3"/>
  <c r="Z272" i="3"/>
  <c r="Y272" i="3"/>
  <c r="U272" i="3" s="1"/>
  <c r="X272" i="3"/>
  <c r="T272" i="3" s="1"/>
  <c r="AE271" i="3"/>
  <c r="AD271" i="3"/>
  <c r="AC271" i="3"/>
  <c r="AA271" i="3"/>
  <c r="Z271" i="3"/>
  <c r="Y271" i="3"/>
  <c r="U271" i="3" s="1"/>
  <c r="X271" i="3"/>
  <c r="T271" i="3" s="1"/>
  <c r="AE270" i="3"/>
  <c r="AD270" i="3"/>
  <c r="AC270" i="3"/>
  <c r="AA270" i="3"/>
  <c r="Z270" i="3"/>
  <c r="Y270" i="3"/>
  <c r="U270" i="3" s="1"/>
  <c r="X270" i="3"/>
  <c r="T270" i="3" s="1"/>
  <c r="AE269" i="3"/>
  <c r="AD269" i="3"/>
  <c r="AC269" i="3"/>
  <c r="AA269" i="3"/>
  <c r="Z269" i="3"/>
  <c r="Y269" i="3"/>
  <c r="U269" i="3" s="1"/>
  <c r="X269" i="3"/>
  <c r="T269" i="3" s="1"/>
  <c r="AE268" i="3"/>
  <c r="AD268" i="3"/>
  <c r="AC268" i="3"/>
  <c r="AA268" i="3"/>
  <c r="Z268" i="3"/>
  <c r="Y268" i="3"/>
  <c r="U268" i="3" s="1"/>
  <c r="X268" i="3"/>
  <c r="T268" i="3" s="1"/>
  <c r="AE267" i="3"/>
  <c r="AD267" i="3"/>
  <c r="AC267" i="3"/>
  <c r="AA267" i="3"/>
  <c r="Z267" i="3"/>
  <c r="Y267" i="3"/>
  <c r="U267" i="3" s="1"/>
  <c r="X267" i="3"/>
  <c r="T267" i="3" s="1"/>
  <c r="AE266" i="3"/>
  <c r="AD266" i="3"/>
  <c r="AC266" i="3"/>
  <c r="AA266" i="3"/>
  <c r="Z266" i="3"/>
  <c r="Y266" i="3"/>
  <c r="U266" i="3" s="1"/>
  <c r="X266" i="3"/>
  <c r="T266" i="3" s="1"/>
  <c r="AE265" i="3"/>
  <c r="AD265" i="3"/>
  <c r="AC265" i="3"/>
  <c r="AA265" i="3"/>
  <c r="Z265" i="3"/>
  <c r="Y265" i="3"/>
  <c r="U265" i="3" s="1"/>
  <c r="X265" i="3"/>
  <c r="T265" i="3" s="1"/>
  <c r="AE264" i="3"/>
  <c r="AD264" i="3"/>
  <c r="AC264" i="3"/>
  <c r="AA264" i="3"/>
  <c r="Z264" i="3"/>
  <c r="Y264" i="3"/>
  <c r="U264" i="3" s="1"/>
  <c r="X264" i="3"/>
  <c r="T264" i="3" s="1"/>
  <c r="AE263" i="3"/>
  <c r="AD263" i="3"/>
  <c r="AC263" i="3"/>
  <c r="AA263" i="3"/>
  <c r="Z263" i="3"/>
  <c r="Y263" i="3"/>
  <c r="U263" i="3" s="1"/>
  <c r="X263" i="3"/>
  <c r="T263" i="3" s="1"/>
  <c r="AE262" i="3"/>
  <c r="AD262" i="3"/>
  <c r="AC262" i="3"/>
  <c r="AA262" i="3"/>
  <c r="Z262" i="3"/>
  <c r="Y262" i="3"/>
  <c r="U262" i="3" s="1"/>
  <c r="X262" i="3"/>
  <c r="T262" i="3" s="1"/>
  <c r="AE261" i="3"/>
  <c r="AD261" i="3"/>
  <c r="AC261" i="3"/>
  <c r="AA261" i="3"/>
  <c r="Z261" i="3"/>
  <c r="Y261" i="3"/>
  <c r="U261" i="3" s="1"/>
  <c r="X261" i="3"/>
  <c r="T261" i="3" s="1"/>
  <c r="AE260" i="3"/>
  <c r="AD260" i="3"/>
  <c r="AC260" i="3"/>
  <c r="AA260" i="3"/>
  <c r="Z260" i="3"/>
  <c r="Y260" i="3"/>
  <c r="U260" i="3" s="1"/>
  <c r="X260" i="3"/>
  <c r="T260" i="3" s="1"/>
  <c r="AE259" i="3"/>
  <c r="AD259" i="3"/>
  <c r="AC259" i="3"/>
  <c r="AA259" i="3"/>
  <c r="Z259" i="3"/>
  <c r="Y259" i="3"/>
  <c r="U259" i="3" s="1"/>
  <c r="X259" i="3"/>
  <c r="T259" i="3" s="1"/>
  <c r="AE258" i="3"/>
  <c r="AD258" i="3"/>
  <c r="AC258" i="3"/>
  <c r="AA258" i="3"/>
  <c r="Z258" i="3"/>
  <c r="Y258" i="3"/>
  <c r="U258" i="3" s="1"/>
  <c r="X258" i="3"/>
  <c r="T258" i="3" s="1"/>
  <c r="AE257" i="3"/>
  <c r="AD257" i="3"/>
  <c r="AC257" i="3"/>
  <c r="AA257" i="3"/>
  <c r="Z257" i="3"/>
  <c r="Y257" i="3"/>
  <c r="U257" i="3" s="1"/>
  <c r="X257" i="3"/>
  <c r="T257" i="3" s="1"/>
  <c r="AE256" i="3"/>
  <c r="AD256" i="3"/>
  <c r="AC256" i="3"/>
  <c r="AA256" i="3"/>
  <c r="Z256" i="3"/>
  <c r="Y256" i="3"/>
  <c r="U256" i="3" s="1"/>
  <c r="X256" i="3"/>
  <c r="T256" i="3" s="1"/>
  <c r="AE255" i="3"/>
  <c r="AD255" i="3"/>
  <c r="AC255" i="3"/>
  <c r="AA255" i="3"/>
  <c r="Z255" i="3"/>
  <c r="Y255" i="3"/>
  <c r="U255" i="3" s="1"/>
  <c r="X255" i="3"/>
  <c r="T255" i="3" s="1"/>
  <c r="AE254" i="3"/>
  <c r="AD254" i="3"/>
  <c r="AC254" i="3"/>
  <c r="AA254" i="3"/>
  <c r="Z254" i="3"/>
  <c r="Y254" i="3"/>
  <c r="U254" i="3" s="1"/>
  <c r="X254" i="3"/>
  <c r="T254" i="3" s="1"/>
  <c r="AE253" i="3"/>
  <c r="AD253" i="3"/>
  <c r="AC253" i="3"/>
  <c r="AA253" i="3"/>
  <c r="Z253" i="3"/>
  <c r="Y253" i="3"/>
  <c r="U253" i="3" s="1"/>
  <c r="X253" i="3"/>
  <c r="T253" i="3" s="1"/>
  <c r="AE252" i="3"/>
  <c r="AD252" i="3"/>
  <c r="AC252" i="3"/>
  <c r="AA252" i="3"/>
  <c r="Z252" i="3"/>
  <c r="Y252" i="3"/>
  <c r="U252" i="3" s="1"/>
  <c r="X252" i="3"/>
  <c r="T252" i="3" s="1"/>
  <c r="AE251" i="3"/>
  <c r="AD251" i="3"/>
  <c r="AC251" i="3"/>
  <c r="AA251" i="3"/>
  <c r="Z251" i="3"/>
  <c r="Y251" i="3"/>
  <c r="U251" i="3" s="1"/>
  <c r="X251" i="3"/>
  <c r="T251" i="3" s="1"/>
  <c r="AE250" i="3"/>
  <c r="AD250" i="3"/>
  <c r="AC250" i="3"/>
  <c r="AA250" i="3"/>
  <c r="Z250" i="3"/>
  <c r="Y250" i="3"/>
  <c r="U250" i="3" s="1"/>
  <c r="X250" i="3"/>
  <c r="T250" i="3" s="1"/>
  <c r="AE249" i="3"/>
  <c r="AD249" i="3"/>
  <c r="AC249" i="3"/>
  <c r="AA249" i="3"/>
  <c r="Z249" i="3"/>
  <c r="Y249" i="3"/>
  <c r="U249" i="3" s="1"/>
  <c r="X249" i="3"/>
  <c r="T249" i="3" s="1"/>
  <c r="AE248" i="3"/>
  <c r="AD248" i="3"/>
  <c r="AC248" i="3"/>
  <c r="AA248" i="3"/>
  <c r="Z248" i="3"/>
  <c r="Y248" i="3"/>
  <c r="U248" i="3" s="1"/>
  <c r="X248" i="3"/>
  <c r="T248" i="3" s="1"/>
  <c r="AE247" i="3"/>
  <c r="AD247" i="3"/>
  <c r="AC247" i="3"/>
  <c r="AA247" i="3"/>
  <c r="Z247" i="3"/>
  <c r="Y247" i="3"/>
  <c r="U247" i="3" s="1"/>
  <c r="X247" i="3"/>
  <c r="T247" i="3" s="1"/>
  <c r="AE246" i="3"/>
  <c r="AD246" i="3"/>
  <c r="AC246" i="3"/>
  <c r="AA246" i="3"/>
  <c r="Z246" i="3"/>
  <c r="Y246" i="3"/>
  <c r="U246" i="3" s="1"/>
  <c r="X246" i="3"/>
  <c r="T246" i="3" s="1"/>
  <c r="AE245" i="3"/>
  <c r="AD245" i="3"/>
  <c r="AC245" i="3"/>
  <c r="AA245" i="3"/>
  <c r="Z245" i="3"/>
  <c r="Y245" i="3"/>
  <c r="U245" i="3" s="1"/>
  <c r="X245" i="3"/>
  <c r="T245" i="3" s="1"/>
  <c r="AE244" i="3"/>
  <c r="AD244" i="3"/>
  <c r="AC244" i="3"/>
  <c r="AA244" i="3"/>
  <c r="Z244" i="3"/>
  <c r="Y244" i="3"/>
  <c r="U244" i="3" s="1"/>
  <c r="X244" i="3"/>
  <c r="T244" i="3" s="1"/>
  <c r="AE243" i="3"/>
  <c r="AD243" i="3"/>
  <c r="AC243" i="3"/>
  <c r="AA243" i="3"/>
  <c r="Z243" i="3"/>
  <c r="Y243" i="3"/>
  <c r="U243" i="3" s="1"/>
  <c r="X243" i="3"/>
  <c r="T243" i="3" s="1"/>
  <c r="N26" i="8" l="1"/>
  <c r="S25" i="8"/>
  <c r="O25" i="8"/>
  <c r="P25" i="8"/>
  <c r="R25" i="8"/>
  <c r="Q25" i="8"/>
  <c r="W239" i="3"/>
  <c r="V239" i="3"/>
  <c r="R239" i="3"/>
  <c r="W238" i="3"/>
  <c r="V238" i="3"/>
  <c r="R238" i="3"/>
  <c r="W237" i="3"/>
  <c r="V237" i="3"/>
  <c r="R237" i="3"/>
  <c r="W236" i="3"/>
  <c r="V236" i="3"/>
  <c r="R236" i="3"/>
  <c r="W235" i="3"/>
  <c r="V235" i="3"/>
  <c r="R235" i="3"/>
  <c r="W234" i="3"/>
  <c r="V234" i="3"/>
  <c r="R234" i="3"/>
  <c r="W233" i="3"/>
  <c r="V233" i="3"/>
  <c r="R233" i="3"/>
  <c r="W232" i="3"/>
  <c r="V232" i="3"/>
  <c r="R232" i="3"/>
  <c r="W231" i="3"/>
  <c r="V231" i="3"/>
  <c r="R231" i="3"/>
  <c r="W230" i="3"/>
  <c r="V230" i="3"/>
  <c r="R230" i="3"/>
  <c r="N27" i="8" l="1"/>
  <c r="S26" i="8"/>
  <c r="Q26" i="8"/>
  <c r="R26" i="8"/>
  <c r="P26" i="8"/>
  <c r="O26" i="8"/>
  <c r="C149" i="3"/>
  <c r="C147" i="3"/>
  <c r="E65" i="3"/>
  <c r="N28" i="8" l="1"/>
  <c r="O27" i="8"/>
  <c r="S27" i="8"/>
  <c r="R27" i="8"/>
  <c r="Q27" i="8"/>
  <c r="P27" i="8"/>
  <c r="F87" i="3"/>
  <c r="H87" i="3" s="1"/>
  <c r="F95" i="3"/>
  <c r="H95" i="3" s="1"/>
  <c r="U159" i="3"/>
  <c r="T148" i="3"/>
  <c r="U143" i="3"/>
  <c r="T133" i="3"/>
  <c r="U129" i="3"/>
  <c r="T118" i="3"/>
  <c r="N29" i="8" l="1"/>
  <c r="S28" i="8"/>
  <c r="O28" i="8"/>
  <c r="R28" i="8"/>
  <c r="P28" i="8"/>
  <c r="Q28" i="8"/>
  <c r="G87" i="3"/>
  <c r="G95" i="3"/>
  <c r="C20" i="3"/>
  <c r="N30" i="8" l="1"/>
  <c r="O29" i="8"/>
  <c r="S29" i="8"/>
  <c r="P29" i="8"/>
  <c r="Q29" i="8"/>
  <c r="R29" i="8"/>
  <c r="C16" i="3"/>
  <c r="N31" i="8" l="1"/>
  <c r="O30" i="8"/>
  <c r="S30" i="8"/>
  <c r="Q30" i="8"/>
  <c r="P30" i="8"/>
  <c r="R30" i="8"/>
  <c r="C70" i="3"/>
  <c r="N32" i="8" l="1"/>
  <c r="O31" i="8"/>
  <c r="S31" i="8"/>
  <c r="R31" i="8"/>
  <c r="Q31" i="8"/>
  <c r="P31" i="8"/>
  <c r="B113" i="3"/>
  <c r="B112" i="3"/>
  <c r="B111" i="3"/>
  <c r="B110" i="3"/>
  <c r="B109" i="3"/>
  <c r="B108" i="3"/>
  <c r="B107" i="3"/>
  <c r="B106" i="3"/>
  <c r="B105" i="3"/>
  <c r="B79" i="3"/>
  <c r="B78" i="3"/>
  <c r="B77" i="3"/>
  <c r="B76" i="3"/>
  <c r="B75" i="3"/>
  <c r="B74" i="3"/>
  <c r="B73" i="3"/>
  <c r="B72" i="3"/>
  <c r="B71" i="3"/>
  <c r="B70" i="3"/>
  <c r="L51" i="3"/>
  <c r="K51" i="3"/>
  <c r="J51" i="3"/>
  <c r="I51" i="3"/>
  <c r="H51" i="3"/>
  <c r="G51" i="3"/>
  <c r="F51" i="3"/>
  <c r="E51" i="3"/>
  <c r="D51" i="3"/>
  <c r="C51" i="3"/>
  <c r="L50" i="3"/>
  <c r="K50" i="3"/>
  <c r="J50" i="3"/>
  <c r="I50" i="3"/>
  <c r="H50" i="3"/>
  <c r="G50" i="3"/>
  <c r="F50" i="3"/>
  <c r="E50" i="3"/>
  <c r="D50" i="3"/>
  <c r="C50" i="3"/>
  <c r="L49" i="3"/>
  <c r="K49" i="3"/>
  <c r="J49" i="3"/>
  <c r="I49" i="3"/>
  <c r="H49" i="3"/>
  <c r="G49" i="3"/>
  <c r="F49" i="3"/>
  <c r="E49" i="3"/>
  <c r="D49" i="3"/>
  <c r="C49" i="3"/>
  <c r="L48" i="3"/>
  <c r="K48" i="3"/>
  <c r="J48" i="3"/>
  <c r="I48" i="3"/>
  <c r="H48" i="3"/>
  <c r="G48" i="3"/>
  <c r="F48" i="3"/>
  <c r="E48" i="3"/>
  <c r="D48" i="3"/>
  <c r="C48" i="3"/>
  <c r="L47" i="3"/>
  <c r="K47" i="3"/>
  <c r="J47" i="3"/>
  <c r="I47" i="3"/>
  <c r="H47" i="3"/>
  <c r="G47" i="3"/>
  <c r="F47" i="3"/>
  <c r="E47" i="3"/>
  <c r="D47" i="3"/>
  <c r="C47" i="3"/>
  <c r="L46" i="3"/>
  <c r="K46" i="3"/>
  <c r="J46" i="3"/>
  <c r="I46" i="3"/>
  <c r="H46" i="3"/>
  <c r="G46" i="3"/>
  <c r="F46" i="3"/>
  <c r="E46" i="3"/>
  <c r="D46" i="3"/>
  <c r="C46" i="3"/>
  <c r="L45" i="3"/>
  <c r="K45" i="3"/>
  <c r="J45" i="3"/>
  <c r="I45" i="3"/>
  <c r="H45" i="3"/>
  <c r="G45" i="3"/>
  <c r="F45" i="3"/>
  <c r="E45" i="3"/>
  <c r="D45" i="3"/>
  <c r="C45" i="3"/>
  <c r="L44" i="3"/>
  <c r="K44" i="3"/>
  <c r="J44" i="3"/>
  <c r="I44" i="3"/>
  <c r="H44" i="3"/>
  <c r="G44" i="3"/>
  <c r="F44" i="3"/>
  <c r="E44" i="3"/>
  <c r="D44" i="3"/>
  <c r="C44" i="3"/>
  <c r="L43" i="3"/>
  <c r="K43" i="3"/>
  <c r="J43" i="3"/>
  <c r="I43" i="3"/>
  <c r="H43" i="3"/>
  <c r="G43" i="3"/>
  <c r="F43" i="3"/>
  <c r="E43" i="3"/>
  <c r="D43" i="3"/>
  <c r="C43" i="3"/>
  <c r="L42" i="3"/>
  <c r="K42" i="3"/>
  <c r="J42" i="3"/>
  <c r="I42" i="3"/>
  <c r="H42" i="3"/>
  <c r="G42" i="3"/>
  <c r="F42" i="3"/>
  <c r="E42" i="3"/>
  <c r="D42" i="3"/>
  <c r="C42" i="3"/>
  <c r="L41" i="3"/>
  <c r="K41" i="3"/>
  <c r="J41" i="3"/>
  <c r="I41" i="3"/>
  <c r="H41" i="3"/>
  <c r="G41" i="3"/>
  <c r="F41" i="3"/>
  <c r="E41" i="3"/>
  <c r="D41" i="3"/>
  <c r="C41" i="3"/>
  <c r="L40" i="3"/>
  <c r="K40" i="3"/>
  <c r="J40" i="3"/>
  <c r="I40" i="3"/>
  <c r="H40" i="3"/>
  <c r="G40" i="3"/>
  <c r="F40" i="3"/>
  <c r="E40" i="3"/>
  <c r="D40" i="3"/>
  <c r="C40" i="3"/>
  <c r="L39" i="3"/>
  <c r="K39" i="3"/>
  <c r="J39" i="3"/>
  <c r="I39" i="3"/>
  <c r="H39" i="3"/>
  <c r="G39" i="3"/>
  <c r="F39" i="3"/>
  <c r="E39" i="3"/>
  <c r="D39" i="3"/>
  <c r="C39" i="3"/>
  <c r="L38" i="3"/>
  <c r="K38" i="3"/>
  <c r="J38" i="3"/>
  <c r="I38" i="3"/>
  <c r="H38" i="3"/>
  <c r="G38" i="3"/>
  <c r="F38" i="3"/>
  <c r="E38" i="3"/>
  <c r="D38" i="3"/>
  <c r="C38" i="3"/>
  <c r="L37" i="3"/>
  <c r="K37" i="3"/>
  <c r="J37" i="3"/>
  <c r="I37" i="3"/>
  <c r="H37" i="3"/>
  <c r="G37" i="3"/>
  <c r="F37" i="3"/>
  <c r="E37" i="3"/>
  <c r="D37" i="3"/>
  <c r="C37" i="3"/>
  <c r="L36" i="3"/>
  <c r="K36" i="3"/>
  <c r="J36" i="3"/>
  <c r="I36" i="3"/>
  <c r="H36" i="3"/>
  <c r="G36" i="3"/>
  <c r="F36" i="3"/>
  <c r="E36" i="3"/>
  <c r="D36" i="3"/>
  <c r="C36" i="3"/>
  <c r="L35" i="3"/>
  <c r="K35" i="3"/>
  <c r="J35" i="3"/>
  <c r="I35" i="3"/>
  <c r="H35" i="3"/>
  <c r="G35" i="3"/>
  <c r="F35" i="3"/>
  <c r="E35" i="3"/>
  <c r="D35" i="3"/>
  <c r="C35" i="3"/>
  <c r="L34" i="3"/>
  <c r="K34" i="3"/>
  <c r="J34" i="3"/>
  <c r="I34" i="3"/>
  <c r="H34" i="3"/>
  <c r="G34" i="3"/>
  <c r="F34" i="3"/>
  <c r="E34" i="3"/>
  <c r="D34" i="3"/>
  <c r="C34" i="3"/>
  <c r="L33" i="3"/>
  <c r="K33" i="3"/>
  <c r="J33" i="3"/>
  <c r="I33" i="3"/>
  <c r="H33" i="3"/>
  <c r="G33" i="3"/>
  <c r="F33" i="3"/>
  <c r="E33" i="3"/>
  <c r="D33" i="3"/>
  <c r="C33" i="3"/>
  <c r="L32" i="3"/>
  <c r="K32" i="3"/>
  <c r="J32" i="3"/>
  <c r="I32" i="3"/>
  <c r="H32" i="3"/>
  <c r="G32" i="3"/>
  <c r="F32" i="3"/>
  <c r="E32" i="3"/>
  <c r="D32" i="3"/>
  <c r="C32" i="3"/>
  <c r="L31" i="3"/>
  <c r="K31" i="3"/>
  <c r="J31" i="3"/>
  <c r="I31" i="3"/>
  <c r="H31" i="3"/>
  <c r="G31" i="3"/>
  <c r="F31" i="3"/>
  <c r="E31" i="3"/>
  <c r="D31" i="3"/>
  <c r="C31" i="3"/>
  <c r="L30" i="3"/>
  <c r="K30" i="3"/>
  <c r="J30" i="3"/>
  <c r="I30" i="3"/>
  <c r="H30" i="3"/>
  <c r="G30" i="3"/>
  <c r="F30" i="3"/>
  <c r="E30" i="3"/>
  <c r="D30" i="3"/>
  <c r="C30" i="3"/>
  <c r="L29" i="3"/>
  <c r="K29" i="3"/>
  <c r="J29" i="3"/>
  <c r="I29" i="3"/>
  <c r="H29" i="3"/>
  <c r="G29" i="3"/>
  <c r="F29" i="3"/>
  <c r="E29" i="3"/>
  <c r="D29" i="3"/>
  <c r="C29" i="3"/>
  <c r="L28" i="3"/>
  <c r="K28" i="3"/>
  <c r="J28" i="3"/>
  <c r="I28" i="3"/>
  <c r="H28" i="3"/>
  <c r="G28" i="3"/>
  <c r="F28" i="3"/>
  <c r="E28" i="3"/>
  <c r="D28" i="3"/>
  <c r="C28" i="3"/>
  <c r="L27" i="3"/>
  <c r="K27" i="3"/>
  <c r="J27" i="3"/>
  <c r="I27" i="3"/>
  <c r="H27" i="3"/>
  <c r="G27" i="3"/>
  <c r="F27" i="3"/>
  <c r="E27" i="3"/>
  <c r="D27" i="3"/>
  <c r="C27" i="3"/>
  <c r="L26" i="3"/>
  <c r="K26" i="3"/>
  <c r="J26" i="3"/>
  <c r="I26" i="3"/>
  <c r="H26" i="3"/>
  <c r="G26" i="3"/>
  <c r="F26" i="3"/>
  <c r="E26" i="3"/>
  <c r="D26" i="3"/>
  <c r="C26" i="3"/>
  <c r="L25" i="3"/>
  <c r="K25" i="3"/>
  <c r="J25" i="3"/>
  <c r="I25" i="3"/>
  <c r="H25" i="3"/>
  <c r="G25" i="3"/>
  <c r="F25" i="3"/>
  <c r="E25" i="3"/>
  <c r="D25" i="3"/>
  <c r="C25" i="3"/>
  <c r="L24" i="3"/>
  <c r="K24" i="3"/>
  <c r="J24" i="3"/>
  <c r="I24" i="3"/>
  <c r="H24" i="3"/>
  <c r="G24" i="3"/>
  <c r="F24" i="3"/>
  <c r="E24" i="3"/>
  <c r="D24" i="3"/>
  <c r="C24" i="3"/>
  <c r="L23" i="3"/>
  <c r="K23" i="3"/>
  <c r="J23" i="3"/>
  <c r="I23" i="3"/>
  <c r="H23" i="3"/>
  <c r="G23" i="3"/>
  <c r="F23" i="3"/>
  <c r="E23" i="3"/>
  <c r="D23" i="3"/>
  <c r="C23" i="3"/>
  <c r="L22" i="3"/>
  <c r="K22" i="3"/>
  <c r="J22" i="3"/>
  <c r="I22" i="3"/>
  <c r="H22" i="3"/>
  <c r="G22" i="3"/>
  <c r="F22" i="3"/>
  <c r="E22" i="3"/>
  <c r="D22" i="3"/>
  <c r="L20" i="3"/>
  <c r="K20" i="3"/>
  <c r="J20" i="3"/>
  <c r="I20" i="3"/>
  <c r="H20" i="3"/>
  <c r="G20" i="3"/>
  <c r="F20" i="3"/>
  <c r="E20" i="3"/>
  <c r="D20" i="3"/>
  <c r="B54" i="3" s="1"/>
  <c r="N33" i="8" l="1"/>
  <c r="S32" i="8"/>
  <c r="O32" i="8"/>
  <c r="P32" i="8"/>
  <c r="R32" i="8"/>
  <c r="Q32" i="8"/>
  <c r="M165" i="3"/>
  <c r="Q165" i="3" s="1"/>
  <c r="L165" i="3"/>
  <c r="K165" i="3"/>
  <c r="P165" i="3" s="1"/>
  <c r="K164" i="3"/>
  <c r="P164" i="3" s="1"/>
  <c r="M163" i="3"/>
  <c r="Q163" i="3" s="1"/>
  <c r="L163" i="3"/>
  <c r="K163" i="3"/>
  <c r="P163" i="3" s="1"/>
  <c r="M164" i="3"/>
  <c r="Q164" i="3" s="1"/>
  <c r="L164" i="3"/>
  <c r="N34" i="8" l="1"/>
  <c r="O33" i="8"/>
  <c r="S33" i="8"/>
  <c r="P33" i="8"/>
  <c r="Q33" i="8"/>
  <c r="R33" i="8"/>
  <c r="R100" i="3"/>
  <c r="K166" i="3"/>
  <c r="P166" i="3" s="1"/>
  <c r="L166" i="3"/>
  <c r="M166" i="3"/>
  <c r="Q166" i="3" s="1"/>
  <c r="B118" i="3"/>
  <c r="T119" i="3" s="1"/>
  <c r="U150" i="3"/>
  <c r="C148" i="3"/>
  <c r="U149" i="3" s="1"/>
  <c r="E70" i="3"/>
  <c r="U148" i="3"/>
  <c r="B148" i="3"/>
  <c r="T149" i="3" s="1"/>
  <c r="B133" i="3"/>
  <c r="T134" i="3" s="1"/>
  <c r="E131" i="3"/>
  <c r="E132" i="3" s="1"/>
  <c r="D131" i="3"/>
  <c r="D132" i="3" s="1"/>
  <c r="N35" i="8" l="1"/>
  <c r="S34" i="8"/>
  <c r="Q34" i="8"/>
  <c r="R34" i="8"/>
  <c r="O34" i="8"/>
  <c r="P34" i="8"/>
  <c r="E141" i="3"/>
  <c r="E71" i="3"/>
  <c r="E75" i="3"/>
  <c r="E79" i="3"/>
  <c r="E72" i="3"/>
  <c r="E76" i="3"/>
  <c r="E73" i="3"/>
  <c r="E77" i="3"/>
  <c r="E74" i="3"/>
  <c r="E78" i="3"/>
  <c r="U100" i="3"/>
  <c r="W100" i="3" s="1"/>
  <c r="T100" i="3"/>
  <c r="F70" i="3"/>
  <c r="D141" i="3"/>
  <c r="D140" i="3"/>
  <c r="E140" i="3"/>
  <c r="D139" i="3"/>
  <c r="E139" i="3"/>
  <c r="D138" i="3"/>
  <c r="E138" i="3"/>
  <c r="D137" i="3"/>
  <c r="E137" i="3"/>
  <c r="D136" i="3"/>
  <c r="E136" i="3"/>
  <c r="D135" i="3"/>
  <c r="E135" i="3"/>
  <c r="D134" i="3"/>
  <c r="E134" i="3"/>
  <c r="D133" i="3"/>
  <c r="E133" i="3"/>
  <c r="N36" i="8" l="1"/>
  <c r="S35" i="8"/>
  <c r="R35" i="8"/>
  <c r="Q35" i="8"/>
  <c r="O35" i="8"/>
  <c r="P35" i="8"/>
  <c r="V100" i="3"/>
  <c r="H70" i="3"/>
  <c r="G70" i="3"/>
  <c r="C116" i="3"/>
  <c r="D116" i="3"/>
  <c r="D118" i="3" s="1"/>
  <c r="E116" i="3"/>
  <c r="E118" i="3" s="1"/>
  <c r="F116" i="3"/>
  <c r="F118" i="3" s="1"/>
  <c r="B119" i="3"/>
  <c r="T120" i="3" s="1"/>
  <c r="B120" i="3"/>
  <c r="T121" i="3" s="1"/>
  <c r="B121" i="3"/>
  <c r="T122" i="3" s="1"/>
  <c r="G116" i="3"/>
  <c r="G118" i="3" s="1"/>
  <c r="H116" i="3"/>
  <c r="H118" i="3" s="1"/>
  <c r="I116" i="3"/>
  <c r="I118" i="3" s="1"/>
  <c r="J116" i="3"/>
  <c r="J118" i="3" s="1"/>
  <c r="K116" i="3"/>
  <c r="K118" i="3" s="1"/>
  <c r="L116" i="3"/>
  <c r="B122" i="3"/>
  <c r="T123" i="3" s="1"/>
  <c r="B123" i="3"/>
  <c r="T124" i="3" s="1"/>
  <c r="B124" i="3"/>
  <c r="T125" i="3" s="1"/>
  <c r="B125" i="3"/>
  <c r="T126" i="3" s="1"/>
  <c r="B126" i="3"/>
  <c r="T127" i="3" s="1"/>
  <c r="B127" i="3"/>
  <c r="T128" i="3" s="1"/>
  <c r="N37" i="8" l="1"/>
  <c r="O36" i="8"/>
  <c r="S36" i="8"/>
  <c r="R36" i="8"/>
  <c r="P36" i="8"/>
  <c r="Q36" i="8"/>
  <c r="G117" i="3"/>
  <c r="J117" i="3"/>
  <c r="E117" i="3"/>
  <c r="K117" i="3"/>
  <c r="I117" i="3"/>
  <c r="D117" i="3"/>
  <c r="F117" i="3"/>
  <c r="L117" i="3"/>
  <c r="L118" i="3"/>
  <c r="H117" i="3"/>
  <c r="F121" i="3"/>
  <c r="D121" i="3"/>
  <c r="F119" i="3"/>
  <c r="E121" i="3"/>
  <c r="F120" i="3"/>
  <c r="E119" i="3"/>
  <c r="E120" i="3"/>
  <c r="D120" i="3"/>
  <c r="D119" i="3"/>
  <c r="N38" i="8" l="1"/>
  <c r="O37" i="8"/>
  <c r="S37" i="8"/>
  <c r="P37" i="8"/>
  <c r="R37" i="8"/>
  <c r="Q37" i="8"/>
  <c r="K120" i="3"/>
  <c r="I121" i="3"/>
  <c r="H120" i="3"/>
  <c r="G119" i="3"/>
  <c r="N39" i="8" l="1"/>
  <c r="S38" i="8"/>
  <c r="O38" i="8"/>
  <c r="Q38" i="8"/>
  <c r="R38" i="8"/>
  <c r="P38" i="8"/>
  <c r="D127" i="3"/>
  <c r="L127" i="3"/>
  <c r="K127" i="3"/>
  <c r="G126" i="3"/>
  <c r="G127" i="3"/>
  <c r="H126" i="3"/>
  <c r="H127" i="3"/>
  <c r="G124" i="3"/>
  <c r="K126" i="3"/>
  <c r="E127" i="3"/>
  <c r="I127" i="3"/>
  <c r="L126" i="3"/>
  <c r="F127" i="3"/>
  <c r="J127" i="3"/>
  <c r="D126" i="3"/>
  <c r="G123" i="3"/>
  <c r="G125" i="3"/>
  <c r="E126" i="3"/>
  <c r="I126" i="3"/>
  <c r="K125" i="3"/>
  <c r="F126" i="3"/>
  <c r="J126" i="3"/>
  <c r="H123" i="3"/>
  <c r="H125" i="3"/>
  <c r="K124" i="3"/>
  <c r="E125" i="3"/>
  <c r="I125" i="3"/>
  <c r="H124" i="3"/>
  <c r="D125" i="3"/>
  <c r="L125" i="3"/>
  <c r="D124" i="3"/>
  <c r="L124" i="3"/>
  <c r="F125" i="3"/>
  <c r="J125" i="3"/>
  <c r="K123" i="3"/>
  <c r="E124" i="3"/>
  <c r="I124" i="3"/>
  <c r="D123" i="3"/>
  <c r="L123" i="3"/>
  <c r="F124" i="3"/>
  <c r="J124" i="3"/>
  <c r="E123" i="3"/>
  <c r="I123" i="3"/>
  <c r="F123" i="3"/>
  <c r="J123" i="3"/>
  <c r="G120" i="3"/>
  <c r="G121" i="3"/>
  <c r="E122" i="3"/>
  <c r="I122" i="3"/>
  <c r="G122" i="3"/>
  <c r="K122" i="3"/>
  <c r="D122" i="3"/>
  <c r="H122" i="3"/>
  <c r="L122" i="3"/>
  <c r="K121" i="3"/>
  <c r="F122" i="3"/>
  <c r="J122" i="3"/>
  <c r="K119" i="3"/>
  <c r="J120" i="3"/>
  <c r="H121" i="3"/>
  <c r="L121" i="3"/>
  <c r="J121" i="3"/>
  <c r="L120" i="3"/>
  <c r="J119" i="3"/>
  <c r="I120" i="3"/>
  <c r="I119" i="3"/>
  <c r="H119" i="3"/>
  <c r="L119" i="3"/>
  <c r="P224" i="3"/>
  <c r="P223" i="3"/>
  <c r="P218" i="3"/>
  <c r="P217" i="3"/>
  <c r="P215" i="3"/>
  <c r="P214" i="3"/>
  <c r="P212" i="3"/>
  <c r="P211" i="3"/>
  <c r="P209" i="3"/>
  <c r="P208" i="3"/>
  <c r="P206" i="3"/>
  <c r="P205" i="3"/>
  <c r="P203" i="3"/>
  <c r="P202" i="3"/>
  <c r="P201" i="3"/>
  <c r="P200" i="3"/>
  <c r="P198" i="3"/>
  <c r="P197" i="3"/>
  <c r="P196" i="3"/>
  <c r="P195" i="3"/>
  <c r="N40" i="8" l="1"/>
  <c r="S39" i="8"/>
  <c r="R39" i="8"/>
  <c r="O39" i="8"/>
  <c r="Q39" i="8"/>
  <c r="P39" i="8"/>
  <c r="P194" i="3"/>
  <c r="P199" i="3"/>
  <c r="P204" i="3"/>
  <c r="P210" i="3"/>
  <c r="P216" i="3"/>
  <c r="P207" i="3"/>
  <c r="P213" i="3"/>
  <c r="P222" i="3"/>
  <c r="P221" i="3"/>
  <c r="P220" i="3"/>
  <c r="K169" i="3"/>
  <c r="P169" i="3" s="1"/>
  <c r="L169" i="3"/>
  <c r="M169" i="3"/>
  <c r="Q169" i="3" s="1"/>
  <c r="K170" i="3"/>
  <c r="P170" i="3" s="1"/>
  <c r="L170" i="3"/>
  <c r="M170" i="3"/>
  <c r="Q170" i="3" s="1"/>
  <c r="K171" i="3"/>
  <c r="P171" i="3" s="1"/>
  <c r="L171" i="3"/>
  <c r="M171" i="3"/>
  <c r="Q171" i="3" s="1"/>
  <c r="N41" i="8" l="1"/>
  <c r="S40" i="8"/>
  <c r="R40" i="8"/>
  <c r="O40" i="8"/>
  <c r="P40" i="8"/>
  <c r="Q40" i="8"/>
  <c r="P219" i="3"/>
  <c r="M168" i="3"/>
  <c r="Q168" i="3" s="1"/>
  <c r="L168" i="3"/>
  <c r="M167" i="3"/>
  <c r="Q167" i="3" s="1"/>
  <c r="L167" i="3"/>
  <c r="K168" i="3"/>
  <c r="P168" i="3" s="1"/>
  <c r="K167" i="3"/>
  <c r="P167" i="3" s="1"/>
  <c r="C157" i="3"/>
  <c r="U158" i="3" s="1"/>
  <c r="C156" i="3"/>
  <c r="U157" i="3" s="1"/>
  <c r="C155" i="3"/>
  <c r="U156" i="3" s="1"/>
  <c r="C154" i="3"/>
  <c r="U155" i="3" s="1"/>
  <c r="C153" i="3"/>
  <c r="U154" i="3" s="1"/>
  <c r="C152" i="3"/>
  <c r="U153" i="3" s="1"/>
  <c r="C151" i="3"/>
  <c r="U152" i="3" s="1"/>
  <c r="C150" i="3"/>
  <c r="U151" i="3" s="1"/>
  <c r="B157" i="3"/>
  <c r="T158" i="3" s="1"/>
  <c r="B156" i="3"/>
  <c r="T157" i="3" s="1"/>
  <c r="B155" i="3"/>
  <c r="T156" i="3" s="1"/>
  <c r="B154" i="3"/>
  <c r="T155" i="3" s="1"/>
  <c r="B153" i="3"/>
  <c r="T154" i="3" s="1"/>
  <c r="B152" i="3"/>
  <c r="T153" i="3" s="1"/>
  <c r="B151" i="3"/>
  <c r="T152" i="3" s="1"/>
  <c r="B150" i="3"/>
  <c r="T151" i="3" s="1"/>
  <c r="B149" i="3"/>
  <c r="T150" i="3" s="1"/>
  <c r="B142" i="3"/>
  <c r="T143" i="3" s="1"/>
  <c r="B141" i="3"/>
  <c r="T142" i="3" s="1"/>
  <c r="B140" i="3"/>
  <c r="T141" i="3" s="1"/>
  <c r="B139" i="3"/>
  <c r="T140" i="3" s="1"/>
  <c r="B138" i="3"/>
  <c r="T139" i="3" s="1"/>
  <c r="B137" i="3"/>
  <c r="T138" i="3" s="1"/>
  <c r="B136" i="3"/>
  <c r="T137" i="3" s="1"/>
  <c r="B135" i="3"/>
  <c r="T136" i="3" s="1"/>
  <c r="B134" i="3"/>
  <c r="T135" i="3" s="1"/>
  <c r="L131" i="3"/>
  <c r="K131" i="3"/>
  <c r="J131" i="3"/>
  <c r="I131" i="3"/>
  <c r="H131" i="3"/>
  <c r="G131" i="3"/>
  <c r="F131" i="3"/>
  <c r="C131" i="3"/>
  <c r="R192" i="3" l="1"/>
  <c r="R191" i="3"/>
  <c r="R168" i="3"/>
  <c r="R189" i="3"/>
  <c r="R174" i="3"/>
  <c r="R188" i="3"/>
  <c r="R177" i="3"/>
  <c r="R187" i="3"/>
  <c r="R181" i="3"/>
  <c r="R179" i="3"/>
  <c r="R165" i="3"/>
  <c r="R182" i="3"/>
  <c r="R186" i="3"/>
  <c r="R190" i="3"/>
  <c r="R176" i="3"/>
  <c r="R185" i="3"/>
  <c r="R175" i="3"/>
  <c r="R180" i="3"/>
  <c r="R183" i="3"/>
  <c r="R172" i="3"/>
  <c r="R184" i="3"/>
  <c r="R166" i="3"/>
  <c r="R178" i="3"/>
  <c r="R173" i="3"/>
  <c r="R171" i="3"/>
  <c r="R169" i="3"/>
  <c r="R167" i="3"/>
  <c r="R170" i="3"/>
  <c r="S192" i="3"/>
  <c r="S189" i="3"/>
  <c r="S188" i="3"/>
  <c r="S190" i="3"/>
  <c r="S191" i="3"/>
  <c r="R164" i="3"/>
  <c r="R163" i="3"/>
  <c r="S168" i="3"/>
  <c r="S180" i="3"/>
  <c r="S171" i="3"/>
  <c r="S163" i="3"/>
  <c r="S167" i="3"/>
  <c r="S179" i="3"/>
  <c r="S166" i="3"/>
  <c r="S186" i="3"/>
  <c r="S185" i="3"/>
  <c r="S174" i="3"/>
  <c r="S184" i="3"/>
  <c r="S178" i="3"/>
  <c r="S172" i="3"/>
  <c r="S175" i="3"/>
  <c r="S183" i="3"/>
  <c r="S176" i="3"/>
  <c r="S181" i="3"/>
  <c r="S182" i="3"/>
  <c r="S177" i="3"/>
  <c r="S164" i="3"/>
  <c r="S187" i="3"/>
  <c r="S165" i="3"/>
  <c r="S173" i="3"/>
  <c r="S169" i="3"/>
  <c r="S170" i="3"/>
  <c r="N42" i="8"/>
  <c r="O41" i="8"/>
  <c r="S41" i="8"/>
  <c r="R41" i="8"/>
  <c r="Q41" i="8"/>
  <c r="P41" i="8"/>
  <c r="C118" i="3"/>
  <c r="U119" i="3" s="1"/>
  <c r="C132" i="3"/>
  <c r="C117" i="3"/>
  <c r="U118" i="3" s="1"/>
  <c r="K132" i="3"/>
  <c r="K133" i="3"/>
  <c r="H132" i="3"/>
  <c r="H133" i="3"/>
  <c r="L132" i="3"/>
  <c r="L133" i="3"/>
  <c r="I132" i="3"/>
  <c r="I133" i="3"/>
  <c r="G132" i="3"/>
  <c r="G133" i="3"/>
  <c r="F133" i="3"/>
  <c r="F132" i="3"/>
  <c r="J133" i="3"/>
  <c r="J132" i="3"/>
  <c r="C133" i="3"/>
  <c r="C140" i="3"/>
  <c r="C136" i="3"/>
  <c r="C126" i="3"/>
  <c r="U127" i="3" s="1"/>
  <c r="C122" i="3"/>
  <c r="U123" i="3" s="1"/>
  <c r="C139" i="3"/>
  <c r="C135" i="3"/>
  <c r="C125" i="3"/>
  <c r="U126" i="3" s="1"/>
  <c r="C121" i="3"/>
  <c r="U122" i="3" s="1"/>
  <c r="C138" i="3"/>
  <c r="C134" i="3"/>
  <c r="C124" i="3"/>
  <c r="U125" i="3" s="1"/>
  <c r="C120" i="3"/>
  <c r="U121" i="3" s="1"/>
  <c r="C141" i="3"/>
  <c r="C137" i="3"/>
  <c r="C127" i="3"/>
  <c r="U128" i="3" s="1"/>
  <c r="C123" i="3"/>
  <c r="U124" i="3" s="1"/>
  <c r="C119" i="3"/>
  <c r="U120" i="3" s="1"/>
  <c r="F140" i="3"/>
  <c r="F141" i="3"/>
  <c r="J140" i="3"/>
  <c r="J141" i="3"/>
  <c r="H140" i="3"/>
  <c r="H141" i="3"/>
  <c r="L140" i="3"/>
  <c r="L141" i="3"/>
  <c r="I140" i="3"/>
  <c r="I141" i="3"/>
  <c r="G140" i="3"/>
  <c r="G141" i="3"/>
  <c r="K140" i="3"/>
  <c r="K141" i="3"/>
  <c r="H138" i="3"/>
  <c r="H139" i="3"/>
  <c r="L138" i="3"/>
  <c r="L139" i="3"/>
  <c r="I138" i="3"/>
  <c r="I139" i="3"/>
  <c r="F139" i="3"/>
  <c r="J138" i="3"/>
  <c r="J139" i="3"/>
  <c r="G138" i="3"/>
  <c r="G139" i="3"/>
  <c r="K138" i="3"/>
  <c r="K139" i="3"/>
  <c r="H136" i="3"/>
  <c r="H137" i="3"/>
  <c r="L136" i="3"/>
  <c r="L137" i="3"/>
  <c r="I136" i="3"/>
  <c r="I137" i="3"/>
  <c r="F136" i="3"/>
  <c r="F137" i="3"/>
  <c r="J136" i="3"/>
  <c r="J137" i="3"/>
  <c r="G136" i="3"/>
  <c r="G137" i="3"/>
  <c r="K136" i="3"/>
  <c r="K137" i="3"/>
  <c r="L135" i="3"/>
  <c r="I135" i="3"/>
  <c r="H135" i="3"/>
  <c r="F135" i="3"/>
  <c r="J135" i="3"/>
  <c r="G135" i="3"/>
  <c r="K135" i="3"/>
  <c r="H134" i="3"/>
  <c r="I134" i="3"/>
  <c r="F134" i="3"/>
  <c r="J134" i="3"/>
  <c r="L134" i="3"/>
  <c r="G134" i="3"/>
  <c r="K134" i="3"/>
  <c r="C113" i="3"/>
  <c r="C112" i="3"/>
  <c r="C111" i="3"/>
  <c r="C110" i="3"/>
  <c r="C109" i="3"/>
  <c r="C108" i="3"/>
  <c r="C106" i="3"/>
  <c r="C105" i="3"/>
  <c r="C72" i="3"/>
  <c r="C79" i="3"/>
  <c r="C78" i="3"/>
  <c r="C77" i="3"/>
  <c r="C76" i="3"/>
  <c r="C75" i="3"/>
  <c r="C74" i="3"/>
  <c r="C73" i="3"/>
  <c r="C71" i="3"/>
  <c r="N43" i="8" l="1"/>
  <c r="O42" i="8"/>
  <c r="S42" i="8"/>
  <c r="R42" i="8"/>
  <c r="P42" i="8"/>
  <c r="Q42" i="8"/>
  <c r="V159" i="3"/>
  <c r="V156" i="3"/>
  <c r="V152" i="3"/>
  <c r="V157" i="3"/>
  <c r="V153" i="3"/>
  <c r="V149" i="3"/>
  <c r="V158" i="3"/>
  <c r="V154" i="3"/>
  <c r="V150" i="3"/>
  <c r="V155" i="3"/>
  <c r="V151" i="3"/>
  <c r="U138" i="3"/>
  <c r="V138" i="3" s="1"/>
  <c r="U135" i="3"/>
  <c r="V135" i="3" s="1"/>
  <c r="U136" i="3"/>
  <c r="V136" i="3" s="1"/>
  <c r="U137" i="3"/>
  <c r="V137" i="3" s="1"/>
  <c r="V143" i="3"/>
  <c r="U142" i="3"/>
  <c r="V142" i="3" s="1"/>
  <c r="U139" i="3"/>
  <c r="V139" i="3" s="1"/>
  <c r="U140" i="3"/>
  <c r="V140" i="3" s="1"/>
  <c r="U141" i="3"/>
  <c r="V141" i="3" s="1"/>
  <c r="U134" i="3"/>
  <c r="V134" i="3" s="1"/>
  <c r="U133" i="3"/>
  <c r="V120" i="3"/>
  <c r="V124" i="3"/>
  <c r="V128" i="3"/>
  <c r="V121" i="3"/>
  <c r="V125" i="3"/>
  <c r="V129" i="3"/>
  <c r="V122" i="3"/>
  <c r="V126" i="3"/>
  <c r="V123" i="3"/>
  <c r="V127" i="3"/>
  <c r="V119" i="3"/>
  <c r="F113" i="3"/>
  <c r="G113" i="3" s="1"/>
  <c r="F112" i="3"/>
  <c r="G112" i="3" s="1"/>
  <c r="F111" i="3"/>
  <c r="G111" i="3" s="1"/>
  <c r="F110" i="3"/>
  <c r="G110" i="3" s="1"/>
  <c r="F108" i="3"/>
  <c r="F109" i="3"/>
  <c r="G109" i="3" s="1"/>
  <c r="F107" i="3"/>
  <c r="G107" i="3" s="1"/>
  <c r="F106" i="3"/>
  <c r="G106" i="3" s="1"/>
  <c r="F105" i="3"/>
  <c r="G105" i="3" s="1"/>
  <c r="F79" i="3"/>
  <c r="G79" i="3" s="1"/>
  <c r="F78" i="3"/>
  <c r="G78" i="3" s="1"/>
  <c r="F77" i="3"/>
  <c r="G77" i="3" s="1"/>
  <c r="F76" i="3"/>
  <c r="G76" i="3" s="1"/>
  <c r="F75" i="3"/>
  <c r="G75" i="3" s="1"/>
  <c r="F74" i="3"/>
  <c r="G74" i="3" s="1"/>
  <c r="F73" i="3"/>
  <c r="G73" i="3" s="1"/>
  <c r="F72" i="3"/>
  <c r="G72" i="3" s="1"/>
  <c r="F71" i="3"/>
  <c r="N44" i="8" l="1"/>
  <c r="S43" i="8"/>
  <c r="O43" i="8"/>
  <c r="R43" i="8"/>
  <c r="Q43" i="8"/>
  <c r="P43" i="8"/>
  <c r="H108" i="3"/>
  <c r="G108" i="3"/>
  <c r="H71" i="3"/>
  <c r="G71" i="3"/>
  <c r="H107" i="3"/>
  <c r="H111" i="3"/>
  <c r="H109" i="3"/>
  <c r="H112" i="3"/>
  <c r="H113" i="3"/>
  <c r="H106" i="3"/>
  <c r="H110" i="3"/>
  <c r="H105" i="3"/>
  <c r="H79" i="3"/>
  <c r="H78" i="3"/>
  <c r="H77" i="3"/>
  <c r="H76" i="3"/>
  <c r="H75" i="3"/>
  <c r="H74" i="3"/>
  <c r="H73" i="3"/>
  <c r="H72" i="3"/>
  <c r="N45" i="8" l="1"/>
  <c r="S44" i="8"/>
  <c r="R44" i="8"/>
  <c r="P44" i="8"/>
  <c r="O44" i="8"/>
  <c r="Q44" i="8"/>
  <c r="E107" i="3"/>
  <c r="E111" i="3"/>
  <c r="E112" i="3"/>
  <c r="E108" i="3"/>
  <c r="E113" i="3"/>
  <c r="E109" i="3"/>
  <c r="E105" i="3"/>
  <c r="E110" i="3"/>
  <c r="E106" i="3"/>
  <c r="B62" i="3"/>
  <c r="B61" i="3"/>
  <c r="B60" i="3"/>
  <c r="B59" i="3"/>
  <c r="B58" i="3"/>
  <c r="B57" i="3"/>
  <c r="B56" i="3"/>
  <c r="B55" i="3"/>
  <c r="N46" i="8" l="1"/>
  <c r="O45" i="8"/>
  <c r="S45" i="8"/>
  <c r="R45" i="8"/>
  <c r="Q45" i="8"/>
  <c r="P45" i="8"/>
  <c r="C15" i="3"/>
  <c r="C14" i="3"/>
  <c r="C11" i="3"/>
  <c r="C10" i="3"/>
  <c r="C9" i="3"/>
  <c r="C7" i="3"/>
  <c r="C6" i="3"/>
  <c r="C5" i="3"/>
  <c r="N47" i="8" l="1"/>
  <c r="S46" i="8"/>
  <c r="R46" i="8"/>
  <c r="P46" i="8"/>
  <c r="Q46" i="8"/>
  <c r="O46" i="8"/>
  <c r="D5" i="3"/>
  <c r="N48" i="8" l="1"/>
  <c r="O47" i="8"/>
  <c r="S47" i="8"/>
  <c r="R47" i="8"/>
  <c r="Q47" i="8"/>
  <c r="P47" i="8"/>
  <c r="N49" i="8" l="1"/>
  <c r="S48" i="8"/>
  <c r="O48" i="8"/>
  <c r="R48" i="8"/>
  <c r="P48" i="8"/>
  <c r="Q48" i="8"/>
  <c r="N50" i="8" l="1"/>
  <c r="O49" i="8"/>
  <c r="S49" i="8"/>
  <c r="R49" i="8"/>
  <c r="Q49" i="8"/>
  <c r="P49" i="8"/>
  <c r="N51" i="8" l="1"/>
  <c r="S50" i="8"/>
  <c r="R50" i="8"/>
  <c r="P50" i="8"/>
  <c r="O50" i="8"/>
  <c r="Q50" i="8"/>
  <c r="N52" i="8" l="1"/>
  <c r="S51" i="8"/>
  <c r="R51" i="8"/>
  <c r="O51" i="8"/>
  <c r="Q51" i="8"/>
  <c r="P51" i="8"/>
  <c r="N53" i="8" l="1"/>
  <c r="O52" i="8"/>
  <c r="S52" i="8"/>
  <c r="R52" i="8"/>
  <c r="P52" i="8"/>
  <c r="Q52" i="8"/>
  <c r="N54" i="8" l="1"/>
  <c r="O53" i="8"/>
  <c r="S53" i="8"/>
  <c r="R53" i="8"/>
  <c r="Q53" i="8"/>
  <c r="P53" i="8"/>
  <c r="N55" i="8" l="1"/>
  <c r="S54" i="8"/>
  <c r="O54" i="8"/>
  <c r="R54" i="8"/>
  <c r="P54" i="8"/>
  <c r="Q54" i="8"/>
  <c r="N56" i="8" l="1"/>
  <c r="S55" i="8"/>
  <c r="R55" i="8"/>
  <c r="O55" i="8"/>
  <c r="Q55" i="8"/>
  <c r="P55" i="8"/>
  <c r="N57" i="8" l="1"/>
  <c r="S56" i="8"/>
  <c r="R56" i="8"/>
  <c r="P56" i="8"/>
  <c r="Q56" i="8"/>
  <c r="O56" i="8"/>
  <c r="N58" i="8" l="1"/>
  <c r="O57" i="8"/>
  <c r="S57" i="8"/>
  <c r="R57" i="8"/>
  <c r="Q57" i="8"/>
  <c r="P57" i="8"/>
  <c r="N59" i="8" l="1"/>
  <c r="O58" i="8"/>
  <c r="S58" i="8"/>
  <c r="R58" i="8"/>
  <c r="P58" i="8"/>
  <c r="Q58" i="8"/>
  <c r="N60" i="8" l="1"/>
  <c r="S59" i="8"/>
  <c r="O59" i="8"/>
  <c r="R59" i="8"/>
  <c r="Q59" i="8"/>
  <c r="P59" i="8"/>
  <c r="N61" i="8" l="1"/>
  <c r="S60" i="8"/>
  <c r="R60" i="8"/>
  <c r="P60" i="8"/>
  <c r="O60" i="8"/>
  <c r="Q60" i="8"/>
  <c r="N62" i="8" l="1"/>
  <c r="O61" i="8"/>
  <c r="Q61" i="8"/>
  <c r="S61" i="8"/>
  <c r="R61" i="8"/>
  <c r="P61" i="8"/>
  <c r="N63" i="8" l="1"/>
  <c r="Q62" i="8"/>
  <c r="P62" i="8"/>
  <c r="O62" i="8"/>
  <c r="R62" i="8"/>
  <c r="S62" i="8"/>
  <c r="N64" i="8" l="1"/>
  <c r="Q63" i="8"/>
  <c r="O63" i="8"/>
  <c r="R63" i="8"/>
  <c r="P63" i="8"/>
  <c r="S63" i="8"/>
  <c r="N65" i="8" l="1"/>
  <c r="Q64" i="8"/>
  <c r="S64" i="8"/>
  <c r="O64" i="8"/>
  <c r="R64" i="8"/>
  <c r="P64" i="8"/>
  <c r="N66" i="8" l="1"/>
  <c r="O65" i="8"/>
  <c r="Q65" i="8"/>
  <c r="S65" i="8"/>
  <c r="P65" i="8"/>
  <c r="R65" i="8"/>
  <c r="N67" i="8" l="1"/>
  <c r="Q66" i="8"/>
  <c r="P66" i="8"/>
  <c r="O66" i="8"/>
  <c r="S66" i="8"/>
  <c r="R66" i="8"/>
  <c r="N68" i="8" l="1"/>
  <c r="Q67" i="8"/>
  <c r="R67" i="8"/>
  <c r="P67" i="8"/>
  <c r="S67" i="8"/>
  <c r="O67" i="8"/>
  <c r="N69" i="8" l="1"/>
  <c r="Q68" i="8"/>
  <c r="O68" i="8"/>
  <c r="S68" i="8"/>
  <c r="R68" i="8"/>
  <c r="P68" i="8"/>
  <c r="N70" i="8" l="1"/>
  <c r="O69" i="8"/>
  <c r="Q69" i="8"/>
  <c r="S69" i="8"/>
  <c r="R69" i="8"/>
  <c r="P69" i="8"/>
  <c r="N71" i="8" l="1"/>
  <c r="Q70" i="8"/>
  <c r="P70" i="8"/>
  <c r="O70" i="8"/>
  <c r="R70" i="8"/>
  <c r="S70" i="8"/>
  <c r="N72" i="8" l="1"/>
  <c r="Q71" i="8"/>
  <c r="R71" i="8"/>
  <c r="P71" i="8"/>
  <c r="O71" i="8"/>
  <c r="S71" i="8"/>
  <c r="N73" i="8" l="1"/>
  <c r="Q72" i="8"/>
  <c r="S72" i="8"/>
  <c r="R72" i="8"/>
  <c r="O72" i="8"/>
  <c r="P72" i="8"/>
  <c r="N74" i="8" l="1"/>
  <c r="O73" i="8"/>
  <c r="Q73" i="8"/>
  <c r="S73" i="8"/>
  <c r="P73" i="8"/>
  <c r="R73" i="8"/>
  <c r="N75" i="8" l="1"/>
  <c r="Q74" i="8"/>
  <c r="O74" i="8"/>
  <c r="P74" i="8"/>
  <c r="S74" i="8"/>
  <c r="R74" i="8"/>
  <c r="N76" i="8" l="1"/>
  <c r="Q75" i="8"/>
  <c r="R75" i="8"/>
  <c r="O75" i="8"/>
  <c r="P75" i="8"/>
  <c r="S75" i="8"/>
  <c r="N77" i="8" l="1"/>
  <c r="Q76" i="8"/>
  <c r="S76" i="8"/>
  <c r="R76" i="8"/>
  <c r="P76" i="8"/>
  <c r="O76" i="8"/>
  <c r="N78" i="8" l="1"/>
  <c r="O77" i="8"/>
  <c r="Q77" i="8"/>
  <c r="S77" i="8"/>
  <c r="R77" i="8"/>
  <c r="P77" i="8"/>
  <c r="N79" i="8" l="1"/>
  <c r="Q78" i="8"/>
  <c r="P78" i="8"/>
  <c r="R78" i="8"/>
  <c r="S78" i="8"/>
  <c r="O78" i="8"/>
  <c r="N80" i="8" l="1"/>
  <c r="Q79" i="8"/>
  <c r="O79" i="8"/>
  <c r="R79" i="8"/>
  <c r="P79" i="8"/>
  <c r="S79" i="8"/>
  <c r="N81" i="8" l="1"/>
  <c r="Q80" i="8"/>
  <c r="S80" i="8"/>
  <c r="O80" i="8"/>
  <c r="R80" i="8"/>
  <c r="P80" i="8"/>
  <c r="N82" i="8" l="1"/>
  <c r="O81" i="8"/>
  <c r="Q81" i="8"/>
  <c r="S81" i="8"/>
  <c r="P81" i="8"/>
  <c r="R81" i="8"/>
  <c r="N83" i="8" l="1"/>
  <c r="Q82" i="8"/>
  <c r="P82" i="8"/>
  <c r="S82" i="8"/>
  <c r="O82" i="8"/>
  <c r="R82" i="8"/>
  <c r="N84" i="8" l="1"/>
  <c r="Q83" i="8"/>
  <c r="R83" i="8"/>
  <c r="P83" i="8"/>
  <c r="O83" i="8"/>
  <c r="S83" i="8"/>
  <c r="N85" i="8" l="1"/>
  <c r="Q84" i="8"/>
  <c r="O84" i="8"/>
  <c r="S84" i="8"/>
  <c r="R84" i="8"/>
  <c r="P84" i="8"/>
  <c r="N86" i="8" l="1"/>
  <c r="O85" i="8"/>
  <c r="Q85" i="8"/>
  <c r="S85" i="8"/>
  <c r="R85" i="8"/>
  <c r="P85" i="8"/>
  <c r="N87" i="8" l="1"/>
  <c r="Q86" i="8"/>
  <c r="P86" i="8"/>
  <c r="O86" i="8"/>
  <c r="R86" i="8"/>
  <c r="S86" i="8"/>
  <c r="N88" i="8" l="1"/>
  <c r="Q87" i="8"/>
  <c r="R87" i="8"/>
  <c r="P87" i="8"/>
  <c r="O87" i="8"/>
  <c r="S87" i="8"/>
  <c r="N89" i="8" l="1"/>
  <c r="Q88" i="8"/>
  <c r="S88" i="8"/>
  <c r="R88" i="8"/>
  <c r="P88" i="8"/>
  <c r="O88" i="8"/>
  <c r="N90" i="8" l="1"/>
  <c r="O89" i="8"/>
  <c r="Q89" i="8"/>
  <c r="S89" i="8"/>
  <c r="P89" i="8"/>
  <c r="R89" i="8"/>
  <c r="N91" i="8" l="1"/>
  <c r="Q90" i="8"/>
  <c r="O90" i="8"/>
  <c r="P90" i="8"/>
  <c r="S90" i="8"/>
  <c r="R90" i="8"/>
  <c r="N92" i="8" l="1"/>
  <c r="Q91" i="8"/>
  <c r="R91" i="8"/>
  <c r="O91" i="8"/>
  <c r="P91" i="8"/>
  <c r="S91" i="8"/>
  <c r="N93" i="8" l="1"/>
  <c r="Q92" i="8"/>
  <c r="S92" i="8"/>
  <c r="R92" i="8"/>
  <c r="O92" i="8"/>
  <c r="P92" i="8"/>
  <c r="N94" i="8" l="1"/>
  <c r="O93" i="8"/>
  <c r="Q93" i="8"/>
  <c r="S93" i="8"/>
  <c r="R93" i="8"/>
  <c r="P93" i="8"/>
  <c r="N95" i="8" l="1"/>
  <c r="Q94" i="8"/>
  <c r="P94" i="8"/>
  <c r="O94" i="8"/>
  <c r="R94" i="8"/>
  <c r="S94" i="8"/>
  <c r="N96" i="8" l="1"/>
  <c r="Q95" i="8"/>
  <c r="O95" i="8"/>
  <c r="R95" i="8"/>
  <c r="P95" i="8"/>
  <c r="S95" i="8"/>
  <c r="N97" i="8" l="1"/>
  <c r="Q96" i="8"/>
  <c r="S96" i="8"/>
  <c r="O96" i="8"/>
  <c r="R96" i="8"/>
  <c r="P96" i="8"/>
  <c r="N98" i="8" l="1"/>
  <c r="O97" i="8"/>
  <c r="Q97" i="8"/>
  <c r="S97" i="8"/>
  <c r="P97" i="8"/>
  <c r="R97" i="8"/>
  <c r="N99" i="8" l="1"/>
  <c r="Q98" i="8"/>
  <c r="P98" i="8"/>
  <c r="O98" i="8"/>
  <c r="S98" i="8"/>
  <c r="R98" i="8"/>
  <c r="N100" i="8" l="1"/>
  <c r="Q99" i="8"/>
  <c r="R99" i="8"/>
  <c r="P99" i="8"/>
  <c r="S99" i="8"/>
  <c r="O99" i="8"/>
  <c r="N101" i="8" l="1"/>
  <c r="Q100" i="8"/>
  <c r="O100" i="8"/>
  <c r="S100" i="8"/>
  <c r="R100" i="8"/>
  <c r="P100" i="8"/>
  <c r="N102" i="8" l="1"/>
  <c r="O101" i="8"/>
  <c r="Q101" i="8"/>
  <c r="S101" i="8"/>
  <c r="R101" i="8"/>
  <c r="P101" i="8"/>
  <c r="N103" i="8" l="1"/>
  <c r="Q102" i="8"/>
  <c r="P102" i="8"/>
  <c r="O102" i="8"/>
  <c r="R102" i="8"/>
  <c r="S102" i="8"/>
  <c r="N104" i="8" l="1"/>
  <c r="Q103" i="8"/>
  <c r="R103" i="8"/>
  <c r="P103" i="8"/>
  <c r="O103" i="8"/>
  <c r="S103" i="8"/>
  <c r="N105" i="8" l="1"/>
  <c r="Q104" i="8"/>
  <c r="S104" i="8"/>
  <c r="R104" i="8"/>
  <c r="O104" i="8"/>
  <c r="P104" i="8"/>
  <c r="N106" i="8" l="1"/>
  <c r="O105" i="8"/>
  <c r="Q105" i="8"/>
  <c r="S105" i="8"/>
  <c r="P105" i="8"/>
  <c r="R105" i="8"/>
  <c r="N107" i="8" l="1"/>
  <c r="Q106" i="8"/>
  <c r="O106" i="8"/>
  <c r="P106" i="8"/>
  <c r="S106" i="8"/>
  <c r="R106" i="8"/>
  <c r="N108" i="8" l="1"/>
  <c r="Q107" i="8"/>
  <c r="R107" i="8"/>
  <c r="O107" i="8"/>
  <c r="P107" i="8"/>
  <c r="S107" i="8"/>
  <c r="N109" i="8" l="1"/>
  <c r="Q108" i="8"/>
  <c r="S108" i="8"/>
  <c r="R108" i="8"/>
  <c r="O108" i="8"/>
  <c r="P108" i="8"/>
  <c r="N110" i="8" l="1"/>
  <c r="O109" i="8"/>
  <c r="Q109" i="8"/>
  <c r="S109" i="8"/>
  <c r="R109" i="8"/>
  <c r="P109" i="8"/>
  <c r="N111" i="8" l="1"/>
  <c r="Q110" i="8"/>
  <c r="P110" i="8"/>
  <c r="R110" i="8"/>
  <c r="S110" i="8"/>
  <c r="O110" i="8"/>
  <c r="N112" i="8" l="1"/>
  <c r="Q111" i="8"/>
  <c r="O111" i="8"/>
  <c r="R111" i="8"/>
  <c r="P111" i="8"/>
  <c r="S111" i="8"/>
  <c r="N113" i="8" l="1"/>
  <c r="Q112" i="8"/>
  <c r="S112" i="8"/>
  <c r="O112" i="8"/>
  <c r="R112" i="8"/>
  <c r="P112" i="8"/>
  <c r="N114" i="8" l="1"/>
  <c r="O113" i="8"/>
  <c r="Q113" i="8"/>
  <c r="S113" i="8"/>
  <c r="P113" i="8"/>
  <c r="R113" i="8"/>
  <c r="N115" i="8" l="1"/>
  <c r="Q114" i="8"/>
  <c r="P114" i="8"/>
  <c r="O114" i="8"/>
  <c r="S114" i="8"/>
  <c r="R114" i="8"/>
  <c r="N116" i="8" l="1"/>
  <c r="Q115" i="8"/>
  <c r="R115" i="8"/>
  <c r="P115" i="8"/>
  <c r="O115" i="8"/>
  <c r="S115" i="8"/>
  <c r="N117" i="8" l="1"/>
  <c r="Q116" i="8"/>
  <c r="O116" i="8"/>
  <c r="S116" i="8"/>
  <c r="R116" i="8"/>
  <c r="P116" i="8"/>
  <c r="N118" i="8" l="1"/>
  <c r="O117" i="8"/>
  <c r="Q117" i="8"/>
  <c r="S117" i="8"/>
  <c r="R117" i="8"/>
  <c r="P117" i="8"/>
  <c r="N119" i="8" l="1"/>
  <c r="Q118" i="8"/>
  <c r="P118" i="8"/>
  <c r="O118" i="8"/>
  <c r="R118" i="8"/>
  <c r="S118" i="8"/>
  <c r="N120" i="8" l="1"/>
  <c r="Q119" i="8"/>
  <c r="R119" i="8"/>
  <c r="P119" i="8"/>
  <c r="O119" i="8"/>
  <c r="S119" i="8"/>
  <c r="Q120" i="8" l="1"/>
  <c r="S120" i="8"/>
  <c r="R120" i="8"/>
  <c r="P120" i="8"/>
  <c r="O120" i="8"/>
</calcChain>
</file>

<file path=xl/sharedStrings.xml><?xml version="1.0" encoding="utf-8"?>
<sst xmlns="http://schemas.openxmlformats.org/spreadsheetml/2006/main" count="937" uniqueCount="338">
  <si>
    <t>In diesem Arbeitsblatt dürfen durch den Anwender keine Änderungen vorgenommen werden. SOLAR-COMPUTER behält sich Anpassungen in späteren Versionen vor.</t>
  </si>
  <si>
    <t>Erstellen Sie statt dessen Ihre eigenen Anpassungen in gesonderten Arbeitsblättern.</t>
  </si>
  <si>
    <t>Eigentümer:</t>
  </si>
  <si>
    <t>Tabelle Gebäude</t>
  </si>
  <si>
    <t>Gebäude:</t>
  </si>
  <si>
    <t>Flächen und Volumen des Gebäudes</t>
  </si>
  <si>
    <t>Bezugsfläche</t>
  </si>
  <si>
    <t>Umfassungsfläche</t>
  </si>
  <si>
    <t>Modernisierung in einem Zug</t>
  </si>
  <si>
    <t>Bezeichnung</t>
  </si>
  <si>
    <t>Komponente 1</t>
  </si>
  <si>
    <t>Komponenten:</t>
  </si>
  <si>
    <t>Bezeichnung:</t>
  </si>
  <si>
    <t>Modernisierung 1</t>
  </si>
  <si>
    <t>Modernisierung 2</t>
  </si>
  <si>
    <t>Modernisierung 3</t>
  </si>
  <si>
    <t>Modernisierung 4</t>
  </si>
  <si>
    <t>Modernisierung 5</t>
  </si>
  <si>
    <t>Modernisierung 6</t>
  </si>
  <si>
    <t>Modernisierung 7</t>
  </si>
  <si>
    <t>Modernisierung 8</t>
  </si>
  <si>
    <t>Modernisierung 9</t>
  </si>
  <si>
    <t>Modernisierungen</t>
  </si>
  <si>
    <t>Tabelle Modernsierungsschritte</t>
  </si>
  <si>
    <t>Bestand</t>
  </si>
  <si>
    <t>Kosten</t>
  </si>
  <si>
    <t>Energieträger 1</t>
  </si>
  <si>
    <t>Energieträger 2</t>
  </si>
  <si>
    <t>Tabelle Wirtschaftlichkeit Zusammenfassung</t>
  </si>
  <si>
    <t>Ist-Zustand vor Sanierung</t>
  </si>
  <si>
    <t>Energiekosten:</t>
  </si>
  <si>
    <t>€/a</t>
  </si>
  <si>
    <t>Endenergiebedarf:</t>
  </si>
  <si>
    <t>kWh/a</t>
  </si>
  <si>
    <t>Maßnahmen-kombination</t>
  </si>
  <si>
    <t>Energiekosten nach Sanierung</t>
  </si>
  <si>
    <t>[€/a]</t>
  </si>
  <si>
    <t>energetisch bedingte Investitions-kosten</t>
  </si>
  <si>
    <t>[€]</t>
  </si>
  <si>
    <t>Prognostizierte Einsparung Energiebedarf</t>
  </si>
  <si>
    <t>[kWh/a]</t>
  </si>
  <si>
    <t>Prognostizierte Einsparung Energiekosten prozentual</t>
  </si>
  <si>
    <t>[%]</t>
  </si>
  <si>
    <t>Kosten / Nutzen</t>
  </si>
  <si>
    <t>Prognostizierte Einsparung Energiekosten absolut</t>
  </si>
  <si>
    <t>Tabelle Modernisierung in Schritten</t>
  </si>
  <si>
    <t>verwendete Energieträger</t>
  </si>
  <si>
    <t>Reduktion des Endenergiebedarfs</t>
  </si>
  <si>
    <t>Reduktion des Primäreneribedarfs</t>
  </si>
  <si>
    <t>Transmission der wärmeübertragenden Umfassungsfläche</t>
  </si>
  <si>
    <t>Codierung</t>
  </si>
  <si>
    <t>U-Wert</t>
  </si>
  <si>
    <t>Fläche</t>
  </si>
  <si>
    <t>Qt</t>
  </si>
  <si>
    <t>Bauteil</t>
  </si>
  <si>
    <t>Transmission</t>
  </si>
  <si>
    <t>[m²]</t>
  </si>
  <si>
    <t>[W/(m²K)]</t>
  </si>
  <si>
    <t>Tabelle Tranmission der Bauteile ab Spalte J wegen der Formatierung der Spalten)</t>
  </si>
  <si>
    <t>[kWh]</t>
  </si>
  <si>
    <t>Jahreswert</t>
  </si>
  <si>
    <t>Januar</t>
  </si>
  <si>
    <t>Februar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</si>
  <si>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</si>
  <si>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</si>
  <si>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</si>
  <si>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</si>
  <si>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</si>
  <si>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</si>
  <si>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</si>
  <si>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</si>
  <si>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</si>
  <si>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</si>
  <si>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Außenluft</t>
  </si>
  <si>
    <t>Erdreich</t>
  </si>
  <si>
    <t>beheizte Zonen</t>
  </si>
  <si>
    <t>unbeheizte Zonen</t>
  </si>
  <si>
    <t>Infiltration</t>
  </si>
  <si>
    <t>Fensterlüftung</t>
  </si>
  <si>
    <t>mechanische Lüftung</t>
  </si>
  <si>
    <t>Zonenverbund</t>
  </si>
  <si>
    <t>Innere Wärmesenken</t>
  </si>
  <si>
    <t>Maschinen/Anlagen</t>
  </si>
  <si>
    <t>Stofftransport</t>
  </si>
  <si>
    <t>Solare Wärmesenken</t>
  </si>
  <si>
    <t>Solare Abstrahlung</t>
  </si>
  <si>
    <t>Transmission Heizung</t>
  </si>
  <si>
    <t>Transmission Kühlung</t>
  </si>
  <si>
    <t>Lüftung Heizung</t>
  </si>
  <si>
    <t>Lüftung Kühlung</t>
  </si>
  <si>
    <t>Interne Wärmequellen</t>
  </si>
  <si>
    <t>Personen</t>
  </si>
  <si>
    <t>Beleuchtung</t>
  </si>
  <si>
    <t>Anlagentechnik</t>
  </si>
  <si>
    <t>Solare Wärmequellen</t>
  </si>
  <si>
    <t>transparente Bauteile</t>
  </si>
  <si>
    <t>opake Bauteile</t>
  </si>
  <si>
    <t>Nutzenergie</t>
  </si>
  <si>
    <t>Heizung</t>
  </si>
  <si>
    <t>Warmwasser</t>
  </si>
  <si>
    <t>Kühlung</t>
  </si>
  <si>
    <t>Befeuchtung</t>
  </si>
  <si>
    <t>Erzeugernutzenergieabgabe</t>
  </si>
  <si>
    <t>Übergabe</t>
  </si>
  <si>
    <t>Verteilung</t>
  </si>
  <si>
    <t>Speicherung</t>
  </si>
  <si>
    <t>Endenergie</t>
  </si>
  <si>
    <t>Verluste Erzeugung</t>
  </si>
  <si>
    <t>Hilfsenergie</t>
  </si>
  <si>
    <t>Erzeugung</t>
  </si>
  <si>
    <t>Primärenergie</t>
  </si>
  <si>
    <t>Energiebilanz</t>
  </si>
  <si>
    <t>Wärmesenken Heizung</t>
  </si>
  <si>
    <t>Wärmesenken Kühlung</t>
  </si>
  <si>
    <t>Wärmequellen Heizung</t>
  </si>
  <si>
    <t>Wärmequellen Kühlung</t>
  </si>
  <si>
    <t>Verluste Übergabe</t>
  </si>
  <si>
    <t>Verluste Verteilung</t>
  </si>
  <si>
    <t>Verluste Speicherung</t>
  </si>
  <si>
    <t>RLT</t>
  </si>
  <si>
    <t>davon Transmission</t>
  </si>
  <si>
    <t>davon Lüftung</t>
  </si>
  <si>
    <t>davon innere Wärmesenken</t>
  </si>
  <si>
    <t>davon solare Wärmesenken</t>
  </si>
  <si>
    <t>davon innere Wärmequellen</t>
  </si>
  <si>
    <t>davon solare Wärmequellen</t>
  </si>
  <si>
    <t>Verluste der Anlagentechnik</t>
  </si>
  <si>
    <t>Verluste der Erzeugung</t>
  </si>
  <si>
    <t>genutzte Umweltenergie</t>
  </si>
  <si>
    <t xml:space="preserve">Nutzenergiebedarf </t>
  </si>
  <si>
    <t>Energieträger</t>
  </si>
  <si>
    <t>Grundpreis</t>
  </si>
  <si>
    <t>[€/100 kWh]</t>
  </si>
  <si>
    <t>Hilfstabelle für Grafik</t>
  </si>
  <si>
    <t>Tabelle Energiebilanz (ab Spalte N wegen Formatierung der Spalten)</t>
  </si>
  <si>
    <t>Objekt</t>
  </si>
  <si>
    <t>Eigentümer</t>
  </si>
  <si>
    <t>Variante</t>
  </si>
  <si>
    <t>Art Nachweis</t>
  </si>
  <si>
    <t>Randbedingungen</t>
  </si>
  <si>
    <t>Anforderung</t>
  </si>
  <si>
    <t>Volumen V_e</t>
  </si>
  <si>
    <t>Beschreibung</t>
  </si>
  <si>
    <t>Investitionskosten</t>
  </si>
  <si>
    <t>Komponenten</t>
  </si>
  <si>
    <t>Bezeichnung Komponente</t>
  </si>
  <si>
    <t>Bedarf</t>
  </si>
  <si>
    <t>davon Hilfsenergie</t>
  </si>
  <si>
    <t>CO2-Emision</t>
  </si>
  <si>
    <t/>
  </si>
  <si>
    <t>Summe aller Auszahlungen (außer bedarfsgebundene)</t>
  </si>
  <si>
    <t>Arbeitspreis</t>
  </si>
  <si>
    <t>---</t>
  </si>
  <si>
    <t>Maschinen / Anlagen</t>
  </si>
  <si>
    <t>Prognosti- zierte Einsparung Energiebedarf</t>
  </si>
  <si>
    <t>Einsparung gegenüber Bedarf</t>
  </si>
  <si>
    <t>Emission</t>
  </si>
  <si>
    <t>[kg]</t>
  </si>
  <si>
    <t>Komponente 2</t>
  </si>
  <si>
    <t>Komponente 3</t>
  </si>
  <si>
    <t>Komponente 4</t>
  </si>
  <si>
    <r>
      <t>Volumen V</t>
    </r>
    <r>
      <rPr>
        <vertAlign val="subscript"/>
        <sz val="10"/>
        <color theme="1"/>
        <rFont val="Calibri"/>
        <family val="2"/>
        <scheme val="minor"/>
      </rPr>
      <t>e</t>
    </r>
  </si>
  <si>
    <r>
      <t>Reduktion CO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-Emission</t>
    </r>
  </si>
  <si>
    <r>
      <t>CO</t>
    </r>
    <r>
      <rPr>
        <vertAlign val="subscript"/>
        <sz val="10"/>
        <color theme="1"/>
        <rFont val="Calibri"/>
        <family val="2"/>
        <scheme val="minor"/>
      </rPr>
      <t>2</t>
    </r>
  </si>
  <si>
    <t>Tabelle Wirtschaftlichkeit Modernisierung in einem Zug ab Spalte R wegen Formatierung</t>
  </si>
  <si>
    <t>Tabelle der Energiekosten ab Spalte R wegen Formatierung</t>
  </si>
  <si>
    <t>Nummer</t>
  </si>
  <si>
    <t>Nutzungsprofil Nummer</t>
  </si>
  <si>
    <t>Nutzungsprofil Bezeichnung</t>
  </si>
  <si>
    <t>Bruttovolumen</t>
  </si>
  <si>
    <t>Nettovolumen</t>
  </si>
  <si>
    <t>Konditionierung Raumsysteme</t>
  </si>
  <si>
    <t>Konditionierung RLT</t>
  </si>
  <si>
    <t>nur Heizung</t>
  </si>
  <si>
    <t>keine Luftaufbereitung</t>
  </si>
  <si>
    <t>Tabelle der Zonendaten ab Spalte X wegen Formatierung</t>
  </si>
  <si>
    <t>Zone</t>
  </si>
  <si>
    <t xml:space="preserve">Konditionierung durch </t>
  </si>
  <si>
    <t>Konditionierung durch</t>
  </si>
  <si>
    <t>[m³]</t>
  </si>
  <si>
    <t>Raumsysteme</t>
  </si>
  <si>
    <t>RLT-Systeme</t>
  </si>
  <si>
    <t>test</t>
  </si>
  <si>
    <t>In diesem Arbeitsblatt dürfen durch den Anwender keine Änderungen vorgenommen werden. Dieses Arbreitsblatt wird durch das Programm B56 verwendet und der Inhalt vom Programm verändert.</t>
  </si>
  <si>
    <t>Am Park 12</t>
  </si>
  <si>
    <t>Mitteldorfstraße 17</t>
  </si>
  <si>
    <t>37083 Göttingen</t>
  </si>
  <si>
    <t>05</t>
  </si>
  <si>
    <t>MFH2 tswtrs eb</t>
  </si>
  <si>
    <t>Nachweis für ein neu zu errichtendes Gebäude</t>
  </si>
  <si>
    <t>Randbedingungen GEG 2020</t>
  </si>
  <si>
    <t>KfW-Effizienzhaus 55</t>
  </si>
  <si>
    <t>Referenzobjekt MFH</t>
  </si>
  <si>
    <t>Mehrfamilienhaus</t>
  </si>
  <si>
    <t>MP3</t>
  </si>
  <si>
    <t>Komponente 5</t>
  </si>
  <si>
    <t>Außendämmung mit Wärmedämmverbundsystem (WLG 035), 20.00 cm</t>
  </si>
  <si>
    <t>Unterseitige Anbringung von Mineralwolle-Platten (WLG, 20.00 cm</t>
  </si>
  <si>
    <t>Flachdach: Dämmung (WLG 035) aufbringen (auf das vorh, 20.00 cm</t>
  </si>
  <si>
    <t>AF03 - Fenster Passivhausstandard</t>
  </si>
  <si>
    <t>Strom</t>
  </si>
  <si>
    <t>Erdgas</t>
  </si>
  <si>
    <t>MP1</t>
  </si>
  <si>
    <t>MP2</t>
  </si>
  <si>
    <t>Fenster Einfach-Isolierverglasung</t>
  </si>
  <si>
    <t>Fenster Einfachverglasung</t>
  </si>
  <si>
    <t>AT N EG</t>
  </si>
  <si>
    <t>AT S DA</t>
  </si>
  <si>
    <t>AW N 1. OG</t>
  </si>
  <si>
    <t>AW N 2345. OG</t>
  </si>
  <si>
    <t>AW N EG</t>
  </si>
  <si>
    <t>AW O</t>
  </si>
  <si>
    <t>AW O Durchfahrt</t>
  </si>
  <si>
    <t>AW S 1.OG</t>
  </si>
  <si>
    <t>AW S 2345.OG</t>
  </si>
  <si>
    <t>AW S EG</t>
  </si>
  <si>
    <t>AW W</t>
  </si>
  <si>
    <t>AW10</t>
  </si>
  <si>
    <t>AW Erdreicht TRH</t>
  </si>
  <si>
    <t>dfsg</t>
  </si>
  <si>
    <t>erreichte BEG-Stufe</t>
  </si>
  <si>
    <t>Primärenergiebedarf Gebäude</t>
  </si>
  <si>
    <t>Endenergiebedarf Gebäude</t>
  </si>
  <si>
    <t>CO2-Emissionen Gebäude</t>
  </si>
  <si>
    <t>davon Instandhaltung</t>
  </si>
  <si>
    <t>davon energetisch bedingte Mehrkosten</t>
  </si>
  <si>
    <t>Förderung gesamt</t>
  </si>
  <si>
    <t>Betrag</t>
  </si>
  <si>
    <t>Förderprogramm</t>
  </si>
  <si>
    <t>Programm1</t>
  </si>
  <si>
    <t>Programm2</t>
  </si>
  <si>
    <t>Betrag1</t>
  </si>
  <si>
    <t>Betrag2</t>
  </si>
  <si>
    <t>…</t>
  </si>
  <si>
    <t>EG 55</t>
  </si>
  <si>
    <t>Modernisierung in einem Zug / Zielzustand</t>
  </si>
  <si>
    <t>Referenzgebäude</t>
  </si>
  <si>
    <t>Bezeichnung der Variante, zu der das Referenzgebäude gehört</t>
  </si>
  <si>
    <t>Primärenergiebedarf Referenzgebäude</t>
  </si>
  <si>
    <t>Endenergiebedarf Referenzgebäude</t>
  </si>
  <si>
    <t>CO2-Emissionen Referenzgebäude</t>
  </si>
  <si>
    <t>Primärenergiebedarf</t>
  </si>
  <si>
    <t>[kg/a]</t>
  </si>
  <si>
    <t>Endenergiebedarf</t>
  </si>
  <si>
    <t>CO2-Emissionen</t>
  </si>
  <si>
    <t>Vergleich Energiebedarf+CO2Emissionen</t>
  </si>
  <si>
    <t>Wirtschaftlichkeit inklusive Förderung</t>
  </si>
  <si>
    <t>Ziel</t>
  </si>
  <si>
    <t>energetisch bedingte Investitions-kosten (Förderung berücksich-tigt)</t>
  </si>
  <si>
    <t>kg/a</t>
  </si>
  <si>
    <t>Energiekosten Referenzgebäude</t>
  </si>
  <si>
    <t>Prognostizier-te Einsparung Energiekos-ten prozentual</t>
  </si>
  <si>
    <t>Prognostizier-te Einsparung Energiekos-ten absolut</t>
  </si>
  <si>
    <t>Prognosti- zierte Einsparung Energie-bedarf</t>
  </si>
  <si>
    <t>Energie-kosten nach Sanierung</t>
  </si>
  <si>
    <t>Neubauniveau</t>
  </si>
  <si>
    <t>Tabelle U-Werte der Bauteile</t>
  </si>
  <si>
    <t>Bauteilcode</t>
  </si>
  <si>
    <t>Nachbarseite</t>
  </si>
  <si>
    <t>Anforderung GEG</t>
  </si>
  <si>
    <t>Zone T &gt;= 19°C</t>
  </si>
  <si>
    <t>Zone 19°C &gt; T &gt;= 12 °C</t>
  </si>
  <si>
    <t>BTNAME</t>
  </si>
  <si>
    <t xml:space="preserve">BTEINBAU </t>
  </si>
  <si>
    <t xml:space="preserve"> GEG_K19_N</t>
  </si>
  <si>
    <t>BTUWERT</t>
  </si>
  <si>
    <t>GEG_G19_N</t>
  </si>
  <si>
    <t>Liste bis max. 99 Bauteile</t>
  </si>
  <si>
    <t>Bauteile - U-Wert-Tabelle</t>
  </si>
  <si>
    <t>BTCODE1</t>
  </si>
  <si>
    <t>BTCode 2</t>
  </si>
  <si>
    <t>Anforderung BEG EM</t>
  </si>
  <si>
    <t>GEG_G19_B</t>
  </si>
  <si>
    <t xml:space="preserve"> GEG_K19_B</t>
  </si>
  <si>
    <t>BEG_EM_G19</t>
  </si>
  <si>
    <t>BEG_EM_K19</t>
  </si>
  <si>
    <t>Tabelle der u-Werte ab Spalte AG wegen Formatierung</t>
  </si>
  <si>
    <t>99 bei 338</t>
  </si>
  <si>
    <t>BTCODE_B</t>
  </si>
  <si>
    <t>BTEINBAU</t>
  </si>
  <si>
    <t>energetisch bedingte Mehrkosten</t>
  </si>
  <si>
    <t>Vergleich CO2, Primärenergiebedarf + Endenergiebedarf ab AP wegen Formatierung</t>
  </si>
  <si>
    <t>Vergleich Energiebedarf+CO2Emissionen zwischen Modernisierungsschritten</t>
  </si>
  <si>
    <t>Anzahl Mod</t>
  </si>
  <si>
    <t>Vergleich Kosten</t>
  </si>
  <si>
    <t xml:space="preserve">Anzahl Alternativen = </t>
  </si>
  <si>
    <t>Instandhal-tungskosten</t>
  </si>
  <si>
    <t>Gesamtinves-titionskosten</t>
  </si>
  <si>
    <t>Tabelle Wirtschaftlichkeit Zusammenfassung mit Förderung Ziel</t>
  </si>
  <si>
    <t>Tabelle Wirtschaftlichkeit Zusammenfassung Förderung Schritt 1</t>
  </si>
  <si>
    <t>energetisch bedingte Investitions-kosten abzgl. Förderung</t>
  </si>
  <si>
    <t>Förderprogramme</t>
  </si>
  <si>
    <t>Vergleich Kosten (Spalte AV)</t>
  </si>
  <si>
    <t>Gesamtsanierung</t>
  </si>
  <si>
    <t>Förderhöhe</t>
  </si>
  <si>
    <t>Art der Förderung</t>
  </si>
  <si>
    <t>Schritt 1</t>
  </si>
  <si>
    <t>Anzahl Programme:</t>
  </si>
  <si>
    <t>mögliche Förderung</t>
  </si>
  <si>
    <t>Energiebilanz Neubau ab U</t>
  </si>
  <si>
    <t>Energiebilanz Neubau</t>
  </si>
  <si>
    <t>Familie Lüdke</t>
  </si>
  <si>
    <t>37073 Göttingen</t>
  </si>
  <si>
    <t>BEG-Stufe</t>
  </si>
  <si>
    <t>BEG Stufe</t>
  </si>
  <si>
    <t>CO2-Emission Gebäude</t>
  </si>
  <si>
    <t>Klassifizierungs-merkmal</t>
  </si>
  <si>
    <t>Grundkosten Energie Referenzgebäude</t>
  </si>
  <si>
    <t>Neubaufaktor</t>
  </si>
  <si>
    <t>AW11</t>
  </si>
  <si>
    <t>AW12</t>
  </si>
  <si>
    <t>AW13</t>
  </si>
  <si>
    <t>AW14</t>
  </si>
  <si>
    <t>AW3</t>
  </si>
  <si>
    <t>AW2</t>
  </si>
  <si>
    <t>AW1</t>
  </si>
  <si>
    <t>AW4</t>
  </si>
  <si>
    <t>AW5</t>
  </si>
  <si>
    <t>AW6</t>
  </si>
  <si>
    <t>AW7</t>
  </si>
  <si>
    <t>AW8</t>
  </si>
  <si>
    <t>AW9</t>
  </si>
  <si>
    <t>AF01</t>
  </si>
  <si>
    <t>AT01</t>
  </si>
  <si>
    <t>AW01</t>
  </si>
  <si>
    <t>Neubau Fam. Lüdke</t>
  </si>
  <si>
    <t>AF02</t>
  </si>
  <si>
    <t>AT02</t>
  </si>
  <si>
    <t>AW02</t>
  </si>
  <si>
    <t>AW03</t>
  </si>
  <si>
    <t>AW04</t>
  </si>
  <si>
    <t>AW05</t>
  </si>
  <si>
    <t>AW06</t>
  </si>
  <si>
    <t>AW07</t>
  </si>
  <si>
    <t>AW08</t>
  </si>
  <si>
    <t>AW09</t>
  </si>
  <si>
    <t>[kWh/(m²a)]</t>
  </si>
  <si>
    <t>[kg/(m²a)]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</si>
</sst>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9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1" fontId="3" fillId="0" borderId="0" xfId="0" applyNumberFormat="1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1" fillId="0" borderId="4" xfId="0" applyFont="1" applyBorder="1" applyAlignment="1">
      <alignment vertical="center"/>
    </xf>
    <xf numFmtId="1" fontId="1" fillId="0" borderId="4" xfId="0" applyNumberFormat="1" applyFont="1" applyBorder="1" applyAlignment="1">
      <alignment vertical="center"/>
    </xf>
    <xf numFmtId="0" fontId="5" fillId="0" borderId="0" xfId="0" applyFont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1" fillId="0" borderId="4" xfId="0" applyFont="1" applyBorder="1"/>
    <xf numFmtId="0" fontId="1" fillId="0" borderId="4" xfId="0" applyFont="1" applyBorder="1" applyAlignment="1">
      <alignment horizontal="center" vertical="top" wrapText="1"/>
    </xf>
    <xf numFmtId="0" fontId="3" fillId="0" borderId="8" xfId="0" applyFont="1" applyBorder="1"/>
    <xf numFmtId="1" fontId="3" fillId="0" borderId="9" xfId="0" applyNumberFormat="1" applyFont="1" applyBorder="1"/>
    <xf numFmtId="0" fontId="1" fillId="0" borderId="4" xfId="0" applyFont="1" applyBorder="1" applyAlignment="1">
      <alignment horizontal="center" vertical="top"/>
    </xf>
    <xf numFmtId="0" fontId="1" fillId="0" borderId="4" xfId="0" quotePrefix="1" applyFont="1" applyBorder="1" applyAlignment="1">
      <alignment horizontal="center" vertical="center"/>
    </xf>
    <xf numFmtId="0" fontId="3" fillId="0" borderId="10" xfId="0" applyFont="1" applyBorder="1"/>
    <xf numFmtId="1" fontId="3" fillId="0" borderId="11" xfId="0" applyNumberFormat="1" applyFont="1" applyBorder="1"/>
    <xf numFmtId="1" fontId="3" fillId="0" borderId="12" xfId="0" applyNumberFormat="1" applyFont="1" applyBorder="1"/>
    <xf numFmtId="1" fontId="3" fillId="0" borderId="22" xfId="0" applyNumberFormat="1" applyFont="1" applyBorder="1"/>
    <xf numFmtId="1" fontId="3" fillId="0" borderId="18" xfId="0" applyNumberFormat="1" applyFont="1" applyBorder="1"/>
    <xf numFmtId="1" fontId="3" fillId="0" borderId="21" xfId="0" applyNumberFormat="1" applyFont="1" applyBorder="1"/>
    <xf numFmtId="1" fontId="3" fillId="0" borderId="19" xfId="0" applyNumberFormat="1" applyFont="1" applyBorder="1"/>
    <xf numFmtId="1" fontId="3" fillId="0" borderId="24" xfId="0" applyNumberFormat="1" applyFont="1" applyBorder="1"/>
    <xf numFmtId="1" fontId="3" fillId="0" borderId="23" xfId="0" applyNumberFormat="1" applyFont="1" applyBorder="1"/>
    <xf numFmtId="0" fontId="1" fillId="0" borderId="17" xfId="0" applyFont="1" applyBorder="1"/>
    <xf numFmtId="1" fontId="1" fillId="0" borderId="17" xfId="0" applyNumberFormat="1" applyFont="1" applyBorder="1"/>
    <xf numFmtId="0" fontId="1" fillId="0" borderId="0" xfId="0" applyFont="1" applyAlignment="1">
      <alignment horizontal="center" vertical="top"/>
    </xf>
    <xf numFmtId="0" fontId="3" fillId="0" borderId="14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5" fillId="2" borderId="5" xfId="0" applyFont="1" applyFill="1" applyBorder="1" applyAlignment="1">
      <alignment vertical="center"/>
    </xf>
    <xf numFmtId="0" fontId="3" fillId="2" borderId="6" xfId="0" applyFont="1" applyFill="1" applyBorder="1" applyAlignment="1">
      <alignment vertical="center"/>
    </xf>
    <xf numFmtId="1" fontId="3" fillId="2" borderId="6" xfId="0" applyNumberFormat="1" applyFont="1" applyFill="1" applyBorder="1" applyAlignment="1">
      <alignment vertical="center"/>
    </xf>
    <xf numFmtId="0" fontId="3" fillId="2" borderId="7" xfId="0" applyFont="1" applyFill="1" applyBorder="1" applyAlignment="1">
      <alignment vertical="center"/>
    </xf>
    <xf numFmtId="0" fontId="3" fillId="2" borderId="10" xfId="0" applyFont="1" applyFill="1" applyBorder="1" applyAlignment="1">
      <alignment vertical="center"/>
    </xf>
    <xf numFmtId="0" fontId="3" fillId="2" borderId="11" xfId="0" applyFont="1" applyFill="1" applyBorder="1" applyAlignment="1">
      <alignment vertical="center"/>
    </xf>
    <xf numFmtId="1" fontId="3" fillId="2" borderId="11" xfId="0" applyNumberFormat="1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0" fontId="3" fillId="0" borderId="9" xfId="0" applyFont="1" applyBorder="1"/>
    <xf numFmtId="0" fontId="5" fillId="2" borderId="4" xfId="0" applyFont="1" applyFill="1" applyBorder="1" applyAlignment="1">
      <alignment horizontal="center" vertical="top" wrapText="1"/>
    </xf>
    <xf numFmtId="0" fontId="5" fillId="2" borderId="8" xfId="0" applyFont="1" applyFill="1" applyBorder="1" applyAlignment="1">
      <alignment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vertical="center"/>
    </xf>
    <xf numFmtId="0" fontId="3" fillId="0" borderId="4" xfId="0" applyFont="1" applyBorder="1" applyAlignment="1">
      <alignment vertical="center"/>
    </xf>
    <xf numFmtId="1" fontId="3" fillId="0" borderId="4" xfId="0" applyNumberFormat="1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0" fontId="5" fillId="2" borderId="14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2" fontId="3" fillId="0" borderId="4" xfId="0" applyNumberFormat="1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0" borderId="17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5" fillId="2" borderId="12" xfId="0" applyFont="1" applyFill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2" fontId="3" fillId="0" borderId="16" xfId="0" applyNumberFormat="1" applyFont="1" applyBorder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2" fontId="3" fillId="0" borderId="0" xfId="0" applyNumberFormat="1" applyFont="1" applyAlignment="1">
      <alignment vertical="center"/>
    </xf>
    <xf numFmtId="0" fontId="5" fillId="2" borderId="15" xfId="0" applyFont="1" applyFill="1" applyBorder="1" applyAlignment="1">
      <alignment horizontal="center" vertical="center"/>
    </xf>
    <xf numFmtId="1" fontId="5" fillId="2" borderId="4" xfId="0" applyNumberFormat="1" applyFont="1" applyFill="1" applyBorder="1" applyAlignment="1">
      <alignment vertical="center"/>
    </xf>
    <xf numFmtId="1" fontId="3" fillId="0" borderId="16" xfId="0" applyNumberFormat="1" applyFont="1" applyBorder="1" applyAlignment="1">
      <alignment vertical="center"/>
    </xf>
    <xf numFmtId="0" fontId="3" fillId="2" borderId="14" xfId="0" applyFont="1" applyFill="1" applyBorder="1" applyAlignment="1">
      <alignment vertical="center"/>
    </xf>
    <xf numFmtId="0" fontId="5" fillId="2" borderId="17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 wrapText="1"/>
    </xf>
    <xf numFmtId="0" fontId="5" fillId="2" borderId="4" xfId="0" applyFont="1" applyFill="1" applyBorder="1"/>
    <xf numFmtId="0" fontId="3" fillId="0" borderId="4" xfId="0" applyFont="1" applyBorder="1"/>
    <xf numFmtId="1" fontId="3" fillId="0" borderId="4" xfId="0" applyNumberFormat="1" applyFont="1" applyBorder="1"/>
    <xf numFmtId="2" fontId="3" fillId="0" borderId="4" xfId="0" applyNumberFormat="1" applyFont="1" applyBorder="1"/>
    <xf numFmtId="0" fontId="3" fillId="0" borderId="4" xfId="0" applyFont="1" applyBorder="1" applyAlignment="1">
      <alignment horizontal="center"/>
    </xf>
    <xf numFmtId="0" fontId="6" fillId="0" borderId="0" xfId="0" applyFont="1"/>
    <xf numFmtId="0" fontId="7" fillId="0" borderId="0" xfId="0" applyFont="1"/>
    <xf numFmtId="0" fontId="5" fillId="2" borderId="4" xfId="0" applyFont="1" applyFill="1" applyBorder="1" applyAlignment="1">
      <alignment vertical="center"/>
    </xf>
    <xf numFmtId="0" fontId="3" fillId="0" borderId="0" xfId="0" quotePrefix="1" applyFont="1"/>
    <xf numFmtId="1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7" fillId="0" borderId="0" xfId="0" applyFont="1" applyAlignment="1">
      <alignment wrapText="1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/>
    </xf>
    <xf numFmtId="9" fontId="3" fillId="0" borderId="0" xfId="1" applyFont="1"/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16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sz="1100"/>
              <a:t>Gegenüberstellung Transmission/Fläche der Bauteile</a:t>
            </a:r>
            <a:r>
              <a:rPr lang="en-US" sz="1100" baseline="0"/>
              <a:t> [%]</a:t>
            </a:r>
            <a:endParaRPr lang="en-US" sz="1100"/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SCEnergiebericht!$O$163</c:f>
              <c:strCache>
                <c:ptCount val="1"/>
                <c:pt idx="0">
                  <c:v>AF01 Fenster Einfach-Isolierverglasung</c:v>
                </c:pt>
              </c:strCache>
            </c:strRef>
          </c:tx>
          <c:invertIfNegative val="0"/>
          <c:cat>
            <c:strRef>
              <c:f>SCEnergiebericht!$P$162:$Q$162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SCEnergiebericht!$P$163:$Q$163</c:f>
              <c:numCache>
                <c:formatCode>General</c:formatCode>
                <c:ptCount val="2"/>
                <c:pt idx="0">
                  <c:v>149.58000000000001</c:v>
                </c:pt>
                <c:pt idx="1">
                  <c:v>36777.08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B5-47D4-8EF2-B9E364666BCF}"/>
            </c:ext>
          </c:extLst>
        </c:ser>
        <c:ser>
          <c:idx val="1"/>
          <c:order val="1"/>
          <c:tx>
            <c:strRef>
              <c:f>SCEnergiebericht!$O$164</c:f>
              <c:strCache>
                <c:ptCount val="1"/>
                <c:pt idx="0">
                  <c:v>AF02 Fenster Einfachverglasung</c:v>
                </c:pt>
              </c:strCache>
            </c:strRef>
          </c:tx>
          <c:invertIfNegative val="0"/>
          <c:cat>
            <c:strRef>
              <c:f>SCEnergiebericht!$P$162:$Q$162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SCEnergiebericht!$P$164:$Q$164</c:f>
              <c:numCache>
                <c:formatCode>General</c:formatCode>
                <c:ptCount val="2"/>
                <c:pt idx="0">
                  <c:v>26.66</c:v>
                </c:pt>
                <c:pt idx="1">
                  <c:v>11939.22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B5-47D4-8EF2-B9E364666BCF}"/>
            </c:ext>
          </c:extLst>
        </c:ser>
        <c:ser>
          <c:idx val="2"/>
          <c:order val="2"/>
          <c:tx>
            <c:strRef>
              <c:f>SCEnergiebericht!$O$165</c:f>
              <c:strCache>
                <c:ptCount val="1"/>
                <c:pt idx="0">
                  <c:v>AT01 AT N EG</c:v>
                </c:pt>
              </c:strCache>
            </c:strRef>
          </c:tx>
          <c:invertIfNegative val="0"/>
          <c:cat>
            <c:strRef>
              <c:f>SCEnergiebericht!$P$162:$Q$162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SCEnergiebericht!$P$165:$Q$165</c:f>
              <c:numCache>
                <c:formatCode>General</c:formatCode>
                <c:ptCount val="2"/>
                <c:pt idx="0">
                  <c:v>5.13</c:v>
                </c:pt>
                <c:pt idx="1">
                  <c:v>2297.38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B5-47D4-8EF2-B9E364666BCF}"/>
            </c:ext>
          </c:extLst>
        </c:ser>
        <c:ser>
          <c:idx val="3"/>
          <c:order val="3"/>
          <c:tx>
            <c:strRef>
              <c:f>SCEnergiebericht!$O$166</c:f>
              <c:strCache>
                <c:ptCount val="1"/>
                <c:pt idx="0">
                  <c:v>AT02 AT S DA</c:v>
                </c:pt>
              </c:strCache>
            </c:strRef>
          </c:tx>
          <c:invertIfNegative val="0"/>
          <c:cat>
            <c:strRef>
              <c:f>SCEnergiebericht!$P$162:$Q$162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SCEnergiebericht!$P$166:$Q$166</c:f>
              <c:numCache>
                <c:formatCode>General</c:formatCode>
                <c:ptCount val="2"/>
                <c:pt idx="0">
                  <c:v>1.72</c:v>
                </c:pt>
                <c:pt idx="1">
                  <c:v>543.72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B5-47D4-8EF2-B9E364666BCF}"/>
            </c:ext>
          </c:extLst>
        </c:ser>
        <c:ser>
          <c:idx val="4"/>
          <c:order val="4"/>
          <c:tx>
            <c:strRef>
              <c:f>SCEnergiebericht!$O$167</c:f>
              <c:strCache>
                <c:ptCount val="1"/>
                <c:pt idx="0">
                  <c:v>AW01 AW N 1. OG</c:v>
                </c:pt>
              </c:strCache>
            </c:strRef>
          </c:tx>
          <c:invertIfNegative val="0"/>
          <c:cat>
            <c:strRef>
              <c:f>SCEnergiebericht!$P$162:$Q$162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SCEnergiebericht!$P$167:$Q$167</c:f>
              <c:numCache>
                <c:formatCode>General</c:formatCode>
                <c:ptCount val="2"/>
                <c:pt idx="0">
                  <c:v>28.09</c:v>
                </c:pt>
                <c:pt idx="1">
                  <c:v>4020.55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36-4F41-B0B6-D2B49B7EE1B0}"/>
            </c:ext>
          </c:extLst>
        </c:ser>
        <c:ser>
          <c:idx val="5"/>
          <c:order val="5"/>
          <c:tx>
            <c:strRef>
              <c:f>SCEnergiebericht!$O$168</c:f>
              <c:strCache>
                <c:ptCount val="1"/>
                <c:pt idx="0">
                  <c:v>AW02 AW N 2345. OG</c:v>
                </c:pt>
              </c:strCache>
            </c:strRef>
          </c:tx>
          <c:invertIfNegative val="0"/>
          <c:cat>
            <c:strRef>
              <c:f>SCEnergiebericht!$P$162:$Q$162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SCEnergiebericht!$P$168:$Q$168</c:f>
              <c:numCache>
                <c:formatCode>General</c:formatCode>
                <c:ptCount val="2"/>
                <c:pt idx="0">
                  <c:v>100.24</c:v>
                </c:pt>
                <c:pt idx="1">
                  <c:v>16459.95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36-4F41-B0B6-D2B49B7EE1B0}"/>
            </c:ext>
          </c:extLst>
        </c:ser>
        <c:ser>
          <c:idx val="6"/>
          <c:order val="6"/>
          <c:tx>
            <c:strRef>
              <c:f>SCEnergiebericht!$O$169</c:f>
              <c:strCache>
                <c:ptCount val="1"/>
                <c:pt idx="0">
                  <c:v>AW03 AW N EG</c:v>
                </c:pt>
              </c:strCache>
            </c:strRef>
          </c:tx>
          <c:invertIfNegative val="0"/>
          <c:cat>
            <c:strRef>
              <c:f>SCEnergiebericht!$P$162:$Q$162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SCEnergiebericht!$P$169:$Q$169</c:f>
              <c:numCache>
                <c:formatCode>General</c:formatCode>
                <c:ptCount val="2"/>
                <c:pt idx="0">
                  <c:v>22.89</c:v>
                </c:pt>
                <c:pt idx="1">
                  <c:v>2813.97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36-4F41-B0B6-D2B49B7EE1B0}"/>
            </c:ext>
          </c:extLst>
        </c:ser>
        <c:ser>
          <c:idx val="7"/>
          <c:order val="7"/>
          <c:tx>
            <c:strRef>
              <c:f>SCEnergiebericht!$O$170</c:f>
              <c:strCache>
                <c:ptCount val="1"/>
                <c:pt idx="0">
                  <c:v>AW04 AW O</c:v>
                </c:pt>
              </c:strCache>
            </c:strRef>
          </c:tx>
          <c:invertIfNegative val="0"/>
          <c:cat>
            <c:strRef>
              <c:f>SCEnergiebericht!$P$162:$Q$162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SCEnergiebericht!$P$170:$Q$170</c:f>
              <c:numCache>
                <c:formatCode>General</c:formatCode>
                <c:ptCount val="2"/>
                <c:pt idx="0">
                  <c:v>43.64</c:v>
                </c:pt>
                <c:pt idx="1">
                  <c:v>7165.92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36-4F41-B0B6-D2B49B7EE1B0}"/>
            </c:ext>
          </c:extLst>
        </c:ser>
        <c:ser>
          <c:idx val="8"/>
          <c:order val="8"/>
          <c:tx>
            <c:strRef>
              <c:f>SCEnergiebericht!$O$171</c:f>
              <c:strCache>
                <c:ptCount val="1"/>
                <c:pt idx="0">
                  <c:v>AW05 AW O Durchfahrt</c:v>
                </c:pt>
              </c:strCache>
            </c:strRef>
          </c:tx>
          <c:invertIfNegative val="0"/>
          <c:cat>
            <c:strRef>
              <c:f>SCEnergiebericht!$P$162:$Q$162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SCEnergiebericht!$P$171:$Q$171</c:f>
              <c:numCache>
                <c:formatCode>General</c:formatCode>
                <c:ptCount val="2"/>
                <c:pt idx="0">
                  <c:v>24.68</c:v>
                </c:pt>
                <c:pt idx="1">
                  <c:v>2947.34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36-4F41-B0B6-D2B49B7EE1B0}"/>
            </c:ext>
          </c:extLst>
        </c:ser>
        <c:ser>
          <c:idx val="9"/>
          <c:order val="9"/>
          <c:tx>
            <c:strRef>
              <c:f>SCEnergiebericht!$O$172</c:f>
              <c:strCache>
                <c:ptCount val="1"/>
                <c:pt idx="0">
                  <c:v>AW06 AW S 1.OG</c:v>
                </c:pt>
              </c:strCache>
            </c:strRef>
          </c:tx>
          <c:invertIfNegative val="0"/>
          <c:cat>
            <c:strRef>
              <c:f>SCEnergiebericht!$P$162:$Q$162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SCEnergiebericht!$P$172:$Q$172</c:f>
              <c:numCache>
                <c:formatCode>General</c:formatCode>
                <c:ptCount val="2"/>
                <c:pt idx="0">
                  <c:v>21.5</c:v>
                </c:pt>
                <c:pt idx="1">
                  <c:v>3077.31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36-4F41-B0B6-D2B49B7EE1B0}"/>
            </c:ext>
          </c:extLst>
        </c:ser>
        <c:ser>
          <c:idx val="10"/>
          <c:order val="10"/>
          <c:tx>
            <c:strRef>
              <c:f>SCEnergiebericht!$O$173</c:f>
              <c:strCache>
                <c:ptCount val="1"/>
                <c:pt idx="0">
                  <c:v>AW07 AW S 2345.OG</c:v>
                </c:pt>
              </c:strCache>
            </c:strRef>
          </c:tx>
          <c:invertIfNegative val="0"/>
          <c:cat>
            <c:strRef>
              <c:f>SCEnergiebericht!$P$162:$Q$162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SCEnergiebericht!$P$173:$Q$173</c:f>
              <c:numCache>
                <c:formatCode>General</c:formatCode>
                <c:ptCount val="2"/>
                <c:pt idx="0">
                  <c:v>80.97</c:v>
                </c:pt>
                <c:pt idx="1">
                  <c:v>13295.71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36-4F41-B0B6-D2B49B7EE1B0}"/>
            </c:ext>
          </c:extLst>
        </c:ser>
        <c:ser>
          <c:idx val="11"/>
          <c:order val="11"/>
          <c:tx>
            <c:strRef>
              <c:f>SCEnergiebericht!$O$174</c:f>
              <c:strCache>
                <c:ptCount val="1"/>
                <c:pt idx="0">
                  <c:v>AW08 AW S EG</c:v>
                </c:pt>
              </c:strCache>
            </c:strRef>
          </c:tx>
          <c:invertIfNegative val="0"/>
          <c:cat>
            <c:strRef>
              <c:f>SCEnergiebericht!$P$162:$Q$162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SCEnergiebericht!$P$174:$Q$174</c:f>
              <c:numCache>
                <c:formatCode>General</c:formatCode>
                <c:ptCount val="2"/>
                <c:pt idx="0">
                  <c:v>21.5</c:v>
                </c:pt>
                <c:pt idx="1">
                  <c:v>2643.09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36-4F41-B0B6-D2B49B7EE1B0}"/>
            </c:ext>
          </c:extLst>
        </c:ser>
        <c:ser>
          <c:idx val="12"/>
          <c:order val="12"/>
          <c:tx>
            <c:strRef>
              <c:f>SCEnergiebericht!$O$175</c:f>
              <c:strCache>
                <c:ptCount val="1"/>
                <c:pt idx="0">
                  <c:v>AW09 AW W</c:v>
                </c:pt>
              </c:strCache>
            </c:strRef>
          </c:tx>
          <c:invertIfNegative val="0"/>
          <c:cat>
            <c:strRef>
              <c:f>SCEnergiebericht!$P$162:$Q$162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SCEnergiebericht!$P$175:$Q$175</c:f>
              <c:numCache>
                <c:formatCode>General</c:formatCode>
                <c:ptCount val="2"/>
                <c:pt idx="0">
                  <c:v>15</c:v>
                </c:pt>
                <c:pt idx="1">
                  <c:v>2463.08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36-4F41-B0B6-D2B49B7EE1B0}"/>
            </c:ext>
          </c:extLst>
        </c:ser>
        <c:ser>
          <c:idx val="13"/>
          <c:order val="13"/>
          <c:tx>
            <c:strRef>
              <c:f>SCEnergiebericht!$O$176</c:f>
              <c:strCache>
                <c:ptCount val="1"/>
                <c:pt idx="0">
                  <c:v>AW10 AW Erdreicht TRH</c:v>
                </c:pt>
              </c:strCache>
            </c:strRef>
          </c:tx>
          <c:invertIfNegative val="0"/>
          <c:cat>
            <c:strRef>
              <c:f>SCEnergiebericht!$P$162:$Q$162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SCEnergiebericht!$P$176:$Q$176</c:f>
              <c:numCache>
                <c:formatCode>General</c:formatCode>
                <c:ptCount val="2"/>
                <c:pt idx="0">
                  <c:v>3.93</c:v>
                </c:pt>
                <c:pt idx="1">
                  <c:v>271.42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36-4F41-B0B6-D2B49B7EE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3"/>
        <c:overlap val="100"/>
        <c:axId val="411134616"/>
        <c:axId val="412424024"/>
      </c:barChart>
      <c:catAx>
        <c:axId val="4111346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12424024"/>
        <c:crosses val="autoZero"/>
        <c:auto val="1"/>
        <c:lblAlgn val="ctr"/>
        <c:lblOffset val="100"/>
        <c:noMultiLvlLbl val="0"/>
      </c:catAx>
      <c:valAx>
        <c:axId val="4124240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%" sourceLinked="1"/>
        <c:majorTickMark val="out"/>
        <c:minorTickMark val="none"/>
        <c:tickLblPos val="nextTo"/>
        <c:crossAx val="4111346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noFill/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sz="1100"/>
              <a:t>Brennstoffbedarf [kWh/a]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SCEnergiebericht!$C$116</c:f>
              <c:strCache>
                <c:ptCount val="1"/>
                <c:pt idx="0">
                  <c:v>Strom</c:v>
                </c:pt>
              </c:strCache>
            </c:strRef>
          </c:tx>
          <c:invertIfNegative val="0"/>
          <c:cat>
            <c:strRef>
              <c:f>SCEnergiebericht!$B$117:$B$120</c:f>
              <c:strCache>
                <c:ptCount val="4"/>
                <c:pt idx="0">
                  <c:v>Bestand</c:v>
                </c:pt>
                <c:pt idx="1">
                  <c:v>MP3</c:v>
                </c:pt>
                <c:pt idx="2">
                  <c:v>MP1</c:v>
                </c:pt>
                <c:pt idx="3">
                  <c:v>MP2</c:v>
                </c:pt>
              </c:strCache>
            </c:strRef>
          </c:cat>
          <c:val>
            <c:numRef>
              <c:f>SCEnergiebericht!$C$117:$C$120</c:f>
              <c:numCache>
                <c:formatCode>0</c:formatCode>
                <c:ptCount val="4"/>
                <c:pt idx="0">
                  <c:v>163867.57500000001</c:v>
                </c:pt>
                <c:pt idx="1">
                  <c:v>519.01400000000001</c:v>
                </c:pt>
                <c:pt idx="2">
                  <c:v>1982.441</c:v>
                </c:pt>
                <c:pt idx="3">
                  <c:v>738.07399999999996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E0-4509-B901-2DC31E4CD333}"/>
            </c:ext>
          </c:extLst>
        </c:ser>
        <c:ser>
          <c:idx val="1"/>
          <c:order val="1"/>
          <c:tx>
            <c:strRef>
              <c:f>SCEnergiebericht!$D$116</c:f>
              <c:strCache>
                <c:ptCount val="1"/>
                <c:pt idx="0">
                  <c:v>Erdgas</c:v>
                </c:pt>
              </c:strCache>
            </c:strRef>
          </c:tx>
          <c:invertIfNegative val="0"/>
          <c:cat>
            <c:strRef>
              <c:f>SCEnergiebericht!$B$117:$B$120</c:f>
              <c:strCache>
                <c:ptCount val="4"/>
                <c:pt idx="0">
                  <c:v>Bestand</c:v>
                </c:pt>
                <c:pt idx="1">
                  <c:v>MP3</c:v>
                </c:pt>
                <c:pt idx="2">
                  <c:v>MP1</c:v>
                </c:pt>
                <c:pt idx="3">
                  <c:v>MP2</c:v>
                </c:pt>
              </c:strCache>
            </c:strRef>
          </c:cat>
          <c:val>
            <c:numRef>
              <c:f>SCEnergiebericht!$D$117:$D$120</c:f>
              <c:numCache>
                <c:formatCode>0</c:formatCode>
                <c:ptCount val="4"/>
                <c:pt idx="0">
                  <c:v>0</c:v>
                </c:pt>
                <c:pt idx="1">
                  <c:v>22554.423999999999</c:v>
                </c:pt>
                <c:pt idx="2">
                  <c:v>132318.75</c:v>
                </c:pt>
                <c:pt idx="3">
                  <c:v>37647.582000000002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E0-4509-B901-2DC31E4CD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2257664"/>
        <c:axId val="209031392"/>
      </c:barChart>
      <c:catAx>
        <c:axId val="41225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031392"/>
        <c:crosses val="autoZero"/>
        <c:auto val="1"/>
        <c:lblAlgn val="ctr"/>
        <c:lblOffset val="100"/>
        <c:noMultiLvlLbl val="0"/>
      </c:catAx>
      <c:valAx>
        <c:axId val="2090313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" sourceLinked="1"/>
        <c:majorTickMark val="out"/>
        <c:minorTickMark val="none"/>
        <c:tickLblPos val="nextTo"/>
        <c:crossAx val="412257664"/>
        <c:crosses val="autoZero"/>
        <c:crossBetween val="between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spPr>
    <a:noFill/>
  </c:spPr>
  <c:printSettings>
    <c:headerFooter/>
    <c:pageMargins b="0.78740157499999996" l="0.7" r="0.7" t="0.78740157499999996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sz="1100"/>
              <a:t>ökologische Bewertung [kWh/a]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SCEnergiebericht!$C$131</c:f>
              <c:strCache>
                <c:ptCount val="1"/>
                <c:pt idx="0">
                  <c:v>Strom</c:v>
                </c:pt>
              </c:strCache>
            </c:strRef>
          </c:tx>
          <c:invertIfNegative val="0"/>
          <c:cat>
            <c:strRef>
              <c:f>SCEnergiebericht!$B$132:$B$135</c:f>
              <c:strCache>
                <c:ptCount val="4"/>
                <c:pt idx="0">
                  <c:v>Bestand</c:v>
                </c:pt>
                <c:pt idx="1">
                  <c:v>MP3</c:v>
                </c:pt>
                <c:pt idx="2">
                  <c:v>MP1</c:v>
                </c:pt>
                <c:pt idx="3">
                  <c:v>MP2</c:v>
                </c:pt>
              </c:strCache>
            </c:strRef>
          </c:cat>
          <c:val>
            <c:numRef>
              <c:f>SCEnergiebericht!$C$132:$C$135</c:f>
              <c:numCache>
                <c:formatCode>0</c:formatCode>
                <c:ptCount val="4"/>
                <c:pt idx="0">
                  <c:v>2563</c:v>
                </c:pt>
                <c:pt idx="1">
                  <c:v>3860.393</c:v>
                </c:pt>
                <c:pt idx="2">
                  <c:v>3568.3939999999998</c:v>
                </c:pt>
                <c:pt idx="3">
                  <c:v>1328.5329999999999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BD-490E-9D1D-1A3EACD3ECB4}"/>
            </c:ext>
          </c:extLst>
        </c:ser>
        <c:ser>
          <c:idx val="1"/>
          <c:order val="1"/>
          <c:tx>
            <c:strRef>
              <c:f>SCEnergiebericht!$D$131</c:f>
              <c:strCache>
                <c:ptCount val="1"/>
                <c:pt idx="0">
                  <c:v>Erdgas</c:v>
                </c:pt>
              </c:strCache>
            </c:strRef>
          </c:tx>
          <c:invertIfNegative val="0"/>
          <c:cat>
            <c:strRef>
              <c:f>SCEnergiebericht!$B$132:$B$135</c:f>
              <c:strCache>
                <c:ptCount val="4"/>
                <c:pt idx="0">
                  <c:v>Bestand</c:v>
                </c:pt>
                <c:pt idx="1">
                  <c:v>MP3</c:v>
                </c:pt>
                <c:pt idx="2">
                  <c:v>MP1</c:v>
                </c:pt>
                <c:pt idx="3">
                  <c:v>MP2</c:v>
                </c:pt>
              </c:strCache>
            </c:strRef>
          </c:cat>
          <c:val>
            <c:numRef>
              <c:f>SCEnergiebericht!$D$132:$D$135</c:f>
              <c:numCache>
                <c:formatCode>0</c:formatCode>
                <c:ptCount val="4"/>
                <c:pt idx="0">
                  <c:v>0</c:v>
                </c:pt>
                <c:pt idx="1">
                  <c:v>22351.231</c:v>
                </c:pt>
                <c:pt idx="2">
                  <c:v>131126.68799999999</c:v>
                </c:pt>
                <c:pt idx="3">
                  <c:v>37308.413999999997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BD-490E-9D1D-1A3EACD3E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9834064"/>
        <c:axId val="409836808"/>
      </c:barChart>
      <c:catAx>
        <c:axId val="4098340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09836808"/>
        <c:crosses val="autoZero"/>
        <c:auto val="1"/>
        <c:lblAlgn val="ctr"/>
        <c:lblOffset val="100"/>
        <c:noMultiLvlLbl val="0"/>
      </c:catAx>
      <c:valAx>
        <c:axId val="4098368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" sourceLinked="1"/>
        <c:majorTickMark val="out"/>
        <c:minorTickMark val="none"/>
        <c:tickLblPos val="nextTo"/>
        <c:crossAx val="40983406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noFill/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sz="1100"/>
              <a:t>Schadstoffemission [kg/a]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SCEnergiebericht!$C$146</c:f>
              <c:strCache>
                <c:ptCount val="1"/>
                <c:pt idx="0">
                  <c:v>CO2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SCEnergiebericht!$B$147:$B$150</c:f>
              <c:strCache>
                <c:ptCount val="4"/>
                <c:pt idx="0">
                  <c:v>Bestand</c:v>
                </c:pt>
                <c:pt idx="1">
                  <c:v>MP3</c:v>
                </c:pt>
                <c:pt idx="2">
                  <c:v>MP1</c:v>
                </c:pt>
                <c:pt idx="3">
                  <c:v>MP2</c:v>
                </c:pt>
              </c:strCache>
            </c:strRef>
          </c:cat>
          <c:val>
            <c:numRef>
              <c:f>SCEnergiebericht!$C$147:$C$150</c:f>
              <c:numCache>
                <c:formatCode>0</c:formatCode>
                <c:ptCount val="4"/>
                <c:pt idx="0">
                  <c:v>22</c:v>
                </c:pt>
                <c:pt idx="1">
                  <c:v>6077.643</c:v>
                </c:pt>
                <c:pt idx="2">
                  <c:v>29719.626</c:v>
                </c:pt>
                <c:pt idx="3">
                  <c:v>8553.3389999999999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97-4C90-BEC3-DDE859465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9837200"/>
        <c:axId val="409833672"/>
      </c:barChart>
      <c:catAx>
        <c:axId val="409837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9833672"/>
        <c:crosses val="autoZero"/>
        <c:auto val="1"/>
        <c:lblAlgn val="ctr"/>
        <c:lblOffset val="100"/>
        <c:noMultiLvlLbl val="0"/>
      </c:catAx>
      <c:valAx>
        <c:axId val="4098336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" sourceLinked="1"/>
        <c:majorTickMark val="out"/>
        <c:minorTickMark val="none"/>
        <c:tickLblPos val="nextTo"/>
        <c:crossAx val="409837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</c:sp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sz="1100"/>
              <a:t>Nettogrundfläche der Zonen [m²]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SCEnergiebericht!$T$243</c:f>
              <c:strCache>
                <c:ptCount val="1"/>
                <c:pt idx="0">
                  <c:v>1 Referenzobjekt MFH</c:v>
                </c:pt>
              </c:strCache>
            </c:strRef>
          </c:cat>
          <c:val>
            <c:numRef>
              <c:f>SCEnergiebericht!$U$243</c:f>
              <c:numCache>
                <c:formatCode>0</c:formatCode>
                <c:ptCount val="1"/>
                <c:pt idx="0">
                  <c:v>1229.0899999999999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4C-406B-BC95-61C806E68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txPr>
        <a:bodyPr/>
        <a:lstStyle/>
        <a:p>
          <a:pPr rtl="0">
            <a:defRPr/>
          </a:pPr>
          <a:endParaRPr lang="de-DE"/>
        </a:p>
      </c:txPr>
    </c:legend>
    <c:plotVisOnly val="1"/>
    <c:dispBlanksAs val="gap"/>
    <c:showDLblsOverMax val="0"/>
  </c:chart>
  <c:spPr>
    <a:noFill/>
  </c:sp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baseline="0">
                <a:effectLst/>
              </a:rPr>
              <a:t>Gegenüberstellung Transmission/Fläche der Bauteile [%]</a:t>
            </a:r>
            <a:endParaRPr lang="de-DE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2556372549019602E-2"/>
          <c:y val="0.10903773148148148"/>
          <c:w val="0.90461683006535942"/>
          <c:h val="0.563324305555555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SCEnergiebericht!$O$163</c:f>
              <c:strCache>
                <c:ptCount val="1"/>
                <c:pt idx="0">
                  <c:v>AF01 Fenster Einfach-Isolierverglasung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SCEnergiebericht!$R$163:$S$163</c:f>
              <c:numCache>
                <c:formatCode>0%</c:formatCode>
                <c:ptCount val="2"/>
                <c:pt idx="0">
                  <c:v>0.27419207009696994</c:v>
                </c:pt>
                <c:pt idx="1">
                  <c:v>0.34462657523623041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D9-4B51-BEAA-4F1EB2FB3EB4}"/>
            </c:ext>
          </c:extLst>
        </c:ser>
        <c:ser>
          <c:idx val="1"/>
          <c:order val="1"/>
          <c:tx>
            <c:strRef>
              <c:f>SCEnergiebericht!$O$164</c:f>
              <c:strCache>
                <c:ptCount val="1"/>
                <c:pt idx="0">
                  <c:v>AF02 Fenster Einfachverglasung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SCEnergiebericht!$R$164:$S$164</c:f>
              <c:numCache>
                <c:formatCode>0%</c:formatCode>
                <c:ptCount val="2"/>
                <c:pt idx="0">
                  <c:v>4.8869906329624402E-2</c:v>
                </c:pt>
                <c:pt idx="1">
                  <c:v>0.11187871629808312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D9-4B51-BEAA-4F1EB2FB3EB4}"/>
            </c:ext>
          </c:extLst>
        </c:ser>
        <c:ser>
          <c:idx val="2"/>
          <c:order val="2"/>
          <c:tx>
            <c:strRef>
              <c:f>SCEnergiebericht!$O$165</c:f>
              <c:strCache>
                <c:ptCount val="1"/>
                <c:pt idx="0">
                  <c:v>AT01 AT N EG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SCEnergiebericht!$R$165:$S$165</c:f>
              <c:numCache>
                <c:formatCode>0%</c:formatCode>
                <c:ptCount val="2"/>
                <c:pt idx="0">
                  <c:v>9.4036991549502329E-3</c:v>
                </c:pt>
                <c:pt idx="1">
                  <c:v>2.1528033259198692E-2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D9-4B51-BEAA-4F1EB2FB3EB4}"/>
            </c:ext>
          </c:extLst>
        </c:ser>
        <c:ser>
          <c:idx val="3"/>
          <c:order val="3"/>
          <c:tx>
            <c:strRef>
              <c:f>SCEnergiebericht!$O$166</c:f>
              <c:strCache>
                <c:ptCount val="1"/>
                <c:pt idx="0">
                  <c:v>AT02 AT S DA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SCEnergiebericht!$R$166:$S$166</c:f>
              <c:numCache>
                <c:formatCode>0%</c:formatCode>
                <c:ptCount val="2"/>
                <c:pt idx="0">
                  <c:v>3.1528971825564131E-3</c:v>
                </c:pt>
                <c:pt idx="1">
                  <c:v>5.0950309673156004E-3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D9-4B51-BEAA-4F1EB2FB3EB4}"/>
            </c:ext>
          </c:extLst>
        </c:ser>
        <c:ser>
          <c:idx val="4"/>
          <c:order val="4"/>
          <c:tx>
            <c:strRef>
              <c:f>SCEnergiebericht!$O$167</c:f>
              <c:strCache>
                <c:ptCount val="1"/>
                <c:pt idx="0">
                  <c:v>AW01 AW N 1. OG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SCEnergiebericht!$R$167:$S$167</c:f>
              <c:numCache>
                <c:formatCode>0%</c:formatCode>
                <c:ptCount val="2"/>
                <c:pt idx="0">
                  <c:v>5.1491210382563747E-2</c:v>
                </c:pt>
                <c:pt idx="1">
                  <c:v>3.767532324659887E-2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D9-4B51-BEAA-4F1EB2FB3EB4}"/>
            </c:ext>
          </c:extLst>
        </c:ser>
        <c:ser>
          <c:idx val="5"/>
          <c:order val="5"/>
          <c:tx>
            <c:strRef>
              <c:f>SCEnergiebericht!$O$168</c:f>
              <c:strCache>
                <c:ptCount val="1"/>
                <c:pt idx="0">
                  <c:v>AW02 AW N 2345. OG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SCEnergiebericht!$R$168:$S$168</c:f>
              <c:numCache>
                <c:formatCode>0%</c:formatCode>
                <c:ptCount val="2"/>
                <c:pt idx="0">
                  <c:v>0.18374791487177608</c:v>
                </c:pt>
                <c:pt idx="1">
                  <c:v>0.15424107071740309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D9-4B51-BEAA-4F1EB2FB3EB4}"/>
            </c:ext>
          </c:extLst>
        </c:ser>
        <c:ser>
          <c:idx val="6"/>
          <c:order val="6"/>
          <c:tx>
            <c:strRef>
              <c:f>SCEnergiebericht!$O$169</c:f>
              <c:strCache>
                <c:ptCount val="1"/>
                <c:pt idx="0">
                  <c:v>AW03 AW N EG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SCEnergiebericht!$R$169:$S$169</c:f>
              <c:numCache>
                <c:formatCode>0%</c:formatCode>
                <c:ptCount val="2"/>
                <c:pt idx="0">
                  <c:v>4.1959195644602501E-2</c:v>
                </c:pt>
                <c:pt idx="1">
                  <c:v>2.6368837436726765E-2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D9-4B51-BEAA-4F1EB2FB3EB4}"/>
            </c:ext>
          </c:extLst>
        </c:ser>
        <c:ser>
          <c:idx val="7"/>
          <c:order val="7"/>
          <c:tx>
            <c:strRef>
              <c:f>SCEnergiebericht!$O$170</c:f>
              <c:strCache>
                <c:ptCount val="1"/>
                <c:pt idx="0">
                  <c:v>AW04 AW O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SCEnergiebericht!$R$170:$S$170</c:f>
              <c:numCache>
                <c:formatCode>0%</c:formatCode>
                <c:ptCount val="2"/>
                <c:pt idx="0">
                  <c:v>7.999560060858249E-2</c:v>
                </c:pt>
                <c:pt idx="1">
                  <c:v>6.714960698393696E-2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D9-4B51-BEAA-4F1EB2FB3EB4}"/>
            </c:ext>
          </c:extLst>
        </c:ser>
        <c:ser>
          <c:idx val="8"/>
          <c:order val="8"/>
          <c:tx>
            <c:strRef>
              <c:f>SCEnergiebericht!$O$171</c:f>
              <c:strCache>
                <c:ptCount val="1"/>
                <c:pt idx="0">
                  <c:v>AW05 AW O Durchfahrt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SCEnergiebericht!$R$171:$S$171</c:f>
              <c:numCache>
                <c:formatCode>0%</c:formatCode>
                <c:ptCount val="2"/>
                <c:pt idx="0">
                  <c:v>4.5240408410169929E-2</c:v>
                </c:pt>
                <c:pt idx="1">
                  <c:v>2.7618606214978227E-2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D9-4B51-BEAA-4F1EB2FB3EB4}"/>
            </c:ext>
          </c:extLst>
        </c:ser>
        <c:ser>
          <c:idx val="9"/>
          <c:order val="9"/>
          <c:tx>
            <c:strRef>
              <c:f>SCEnergiebericht!$O$172</c:f>
              <c:strCache>
                <c:ptCount val="1"/>
                <c:pt idx="0">
                  <c:v>AW06 AW S 1.OG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SCEnergiebericht!$R$172:$S$172</c:f>
              <c:numCache>
                <c:formatCode>0%</c:formatCode>
                <c:ptCount val="2"/>
                <c:pt idx="0">
                  <c:v>3.9411214781955167E-2</c:v>
                </c:pt>
                <c:pt idx="1">
                  <c:v>2.8836514650978386E-2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D9-4B51-BEAA-4F1EB2FB3E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89616328"/>
        <c:axId val="889618624"/>
      </c:barChart>
      <c:catAx>
        <c:axId val="889616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89618624"/>
        <c:crosses val="autoZero"/>
        <c:auto val="1"/>
        <c:lblAlgn val="ctr"/>
        <c:lblOffset val="100"/>
        <c:noMultiLvlLbl val="0"/>
      </c:catAx>
      <c:valAx>
        <c:axId val="88961862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89616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5345922880288878E-2"/>
          <c:y val="0.76102148210521092"/>
          <c:w val="0.93856844757089919"/>
          <c:h val="0.221339645876957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baseline="0">
                <a:effectLst/>
              </a:rPr>
              <a:t>Gegenüberstellung Transmission/Fläche der Bauteile [%]</a:t>
            </a:r>
            <a:endParaRPr lang="de-DE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2556372549019602E-2"/>
          <c:y val="0.10903773148148148"/>
          <c:w val="0.90461683006535942"/>
          <c:h val="0.563324305555555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SCEnergiebericht!$O$173</c:f>
              <c:strCache>
                <c:ptCount val="1"/>
                <c:pt idx="0">
                  <c:v>AW07 AW S 2345.OG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SCEnergiebericht!$R$173:$S$173</c:f>
              <c:numCache>
                <c:formatCode>0%</c:formatCode>
                <c:ptCount val="2"/>
                <c:pt idx="0">
                  <c:v>0.14842446794860045</c:v>
                </c:pt>
                <c:pt idx="1">
                  <c:v>0.12458996208057031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F2-4017-8266-A8550202972F}"/>
            </c:ext>
          </c:extLst>
        </c:ser>
        <c:ser>
          <c:idx val="1"/>
          <c:order val="1"/>
          <c:tx>
            <c:strRef>
              <c:f>SCEnergiebericht!$O$174</c:f>
              <c:strCache>
                <c:ptCount val="1"/>
                <c:pt idx="0">
                  <c:v>AW08 AW S EG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SCEnergiebericht!$R$174:$S$174</c:f>
              <c:numCache>
                <c:formatCode>0%</c:formatCode>
                <c:ptCount val="2"/>
                <c:pt idx="0">
                  <c:v>3.9411214781955167E-2</c:v>
                </c:pt>
                <c:pt idx="1">
                  <c:v>2.4767574117932373E-2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F2-4017-8266-A8550202972F}"/>
            </c:ext>
          </c:extLst>
        </c:ser>
        <c:ser>
          <c:idx val="2"/>
          <c:order val="2"/>
          <c:tx>
            <c:strRef>
              <c:f>SCEnergiebericht!$O$175</c:f>
              <c:strCache>
                <c:ptCount val="1"/>
                <c:pt idx="0">
                  <c:v>AW09 AW 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SCEnergiebericht!$R$175:$S$175</c:f>
              <c:numCache>
                <c:formatCode>0%</c:formatCode>
                <c:ptCount val="2"/>
                <c:pt idx="0">
                  <c:v>2.7496196359503604E-2</c:v>
                </c:pt>
                <c:pt idx="1">
                  <c:v>2.3080756409504355E-2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F2-4017-8266-A8550202972F}"/>
            </c:ext>
          </c:extLst>
        </c:ser>
        <c:ser>
          <c:idx val="3"/>
          <c:order val="3"/>
          <c:tx>
            <c:strRef>
              <c:f>SCEnergiebericht!$O$176</c:f>
              <c:strCache>
                <c:ptCount val="1"/>
                <c:pt idx="0">
                  <c:v>AW10 AW Erdreicht TRH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SCEnergiebericht!$R$176:$S$176</c:f>
              <c:numCache>
                <c:formatCode>0%</c:formatCode>
                <c:ptCount val="2"/>
                <c:pt idx="0">
                  <c:v>7.204003446189944E-3</c:v>
                </c:pt>
                <c:pt idx="1">
                  <c:v>2.5433923805429268E-3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F2-4017-8266-A8550202972F}"/>
            </c:ext>
          </c:extLst>
        </c:ser>
        <c:ser>
          <c:idx val="4"/>
          <c:order val="4"/>
          <c:tx>
            <c:strRef>
              <c:f>SCEnergiebericht!$O$177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SCEnergiebericht!$R$177:$S$177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F2-4017-8266-A8550202972F}"/>
            </c:ext>
          </c:extLst>
        </c:ser>
        <c:ser>
          <c:idx val="5"/>
          <c:order val="5"/>
          <c:tx>
            <c:strRef>
              <c:f>SCEnergiebericht!$O$178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SCEnergiebericht!$R$178:$S$178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F2-4017-8266-A8550202972F}"/>
            </c:ext>
          </c:extLst>
        </c:ser>
        <c:ser>
          <c:idx val="6"/>
          <c:order val="6"/>
          <c:tx>
            <c:strRef>
              <c:f>SCEnergiebericht!$O$179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SCEnergiebericht!$R$179:$S$179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F2-4017-8266-A8550202972F}"/>
            </c:ext>
          </c:extLst>
        </c:ser>
        <c:ser>
          <c:idx val="7"/>
          <c:order val="7"/>
          <c:tx>
            <c:strRef>
              <c:f>SCEnergiebericht!$O$180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SCEnergiebericht!$R$180:$S$180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F2-4017-8266-A8550202972F}"/>
            </c:ext>
          </c:extLst>
        </c:ser>
        <c:ser>
          <c:idx val="8"/>
          <c:order val="8"/>
          <c:tx>
            <c:strRef>
              <c:f>SCEnergiebericht!$O$181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SCEnergiebericht!$R$181:$S$181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F2-4017-8266-A8550202972F}"/>
            </c:ext>
          </c:extLst>
        </c:ser>
        <c:ser>
          <c:idx val="9"/>
          <c:order val="9"/>
          <c:tx>
            <c:strRef>
              <c:f>SCEnergiebericht!$O$182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SCEnergiebericht!$R$182:$S$182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F2-4017-8266-A855020297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89616328"/>
        <c:axId val="889618624"/>
      </c:barChart>
      <c:catAx>
        <c:axId val="889616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89618624"/>
        <c:crosses val="autoZero"/>
        <c:auto val="1"/>
        <c:lblAlgn val="ctr"/>
        <c:lblOffset val="100"/>
        <c:noMultiLvlLbl val="0"/>
      </c:catAx>
      <c:valAx>
        <c:axId val="88961862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89616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1502828351599899E-2"/>
          <c:y val="0.74352405907148389"/>
          <c:w val="0.94388588250178362"/>
          <c:h val="0.235920833333333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baseline="0">
                <a:effectLst/>
              </a:rPr>
              <a:t>Gegenüberstellung Transmission/Fläche der Bauteile [%]</a:t>
            </a:r>
            <a:endParaRPr lang="de-DE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2556372549019602E-2"/>
          <c:y val="0.10903773148148148"/>
          <c:w val="0.90461683006535942"/>
          <c:h val="0.563324305555555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SCEnergiebericht!$O$183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SCEnergiebericht!$R$183:$S$183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B-4276-9703-7E4C1DEF1025}"/>
            </c:ext>
          </c:extLst>
        </c:ser>
        <c:ser>
          <c:idx val="1"/>
          <c:order val="1"/>
          <c:tx>
            <c:strRef>
              <c:f>SCEnergiebericht!$O$184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SCEnergiebericht!$R$184:$S$184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3B-4276-9703-7E4C1DEF1025}"/>
            </c:ext>
          </c:extLst>
        </c:ser>
        <c:ser>
          <c:idx val="2"/>
          <c:order val="2"/>
          <c:tx>
            <c:strRef>
              <c:f>SCEnergiebericht!$O$185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SCEnergiebericht!$R$185:$S$185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3B-4276-9703-7E4C1DEF1025}"/>
            </c:ext>
          </c:extLst>
        </c:ser>
        <c:ser>
          <c:idx val="3"/>
          <c:order val="3"/>
          <c:tx>
            <c:strRef>
              <c:f>SCEnergiebericht!$O$186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SCEnergiebericht!$R$186:$S$186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63B-4276-9703-7E4C1DEF1025}"/>
            </c:ext>
          </c:extLst>
        </c:ser>
        <c:ser>
          <c:idx val="4"/>
          <c:order val="4"/>
          <c:tx>
            <c:strRef>
              <c:f>SCEnergiebericht!$O$187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SCEnergiebericht!$R$187:$S$187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3B-4276-9703-7E4C1DEF1025}"/>
            </c:ext>
          </c:extLst>
        </c:ser>
        <c:ser>
          <c:idx val="5"/>
          <c:order val="5"/>
          <c:tx>
            <c:strRef>
              <c:f>SCEnergiebericht!$O$188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SCEnergiebericht!$R$188:$S$188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63B-4276-9703-7E4C1DEF1025}"/>
            </c:ext>
          </c:extLst>
        </c:ser>
        <c:ser>
          <c:idx val="6"/>
          <c:order val="6"/>
          <c:tx>
            <c:strRef>
              <c:f>SCEnergiebericht!$O$189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SCEnergiebericht!$R$189:$S$189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63B-4276-9703-7E4C1DEF1025}"/>
            </c:ext>
          </c:extLst>
        </c:ser>
        <c:ser>
          <c:idx val="7"/>
          <c:order val="7"/>
          <c:tx>
            <c:strRef>
              <c:f>SCEnergiebericht!$O$190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SCEnergiebericht!$R$190:$S$190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63B-4276-9703-7E4C1DEF1025}"/>
            </c:ext>
          </c:extLst>
        </c:ser>
        <c:ser>
          <c:idx val="8"/>
          <c:order val="8"/>
          <c:tx>
            <c:strRef>
              <c:f>SCEnergiebericht!$O$191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SCEnergiebericht!$R$191:$S$191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63B-4276-9703-7E4C1DEF1025}"/>
            </c:ext>
          </c:extLst>
        </c:ser>
        <c:ser>
          <c:idx val="9"/>
          <c:order val="9"/>
          <c:tx>
            <c:strRef>
              <c:f>SCEnergiebericht!$O$192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SCEnergiebericht!$R$162:$S$162</c:f>
              <c:strCache>
                <c:ptCount val="2"/>
                <c:pt idx="0">
                  <c:v>Fläche</c:v>
                </c:pt>
                <c:pt idx="1">
                  <c:v>Transmission</c:v>
                </c:pt>
              </c:strCache>
            </c:strRef>
          </c:cat>
          <c:val>
            <c:numRef>
              <c:f>SCEnergiebericht!$R$192:$S$192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63B-4276-9703-7E4C1DEF1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89616328"/>
        <c:axId val="889618624"/>
      </c:barChart>
      <c:catAx>
        <c:axId val="889616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89618624"/>
        <c:crosses val="autoZero"/>
        <c:auto val="1"/>
        <c:lblAlgn val="ctr"/>
        <c:lblOffset val="100"/>
        <c:noMultiLvlLbl val="0"/>
      </c:catAx>
      <c:valAx>
        <c:axId val="88961862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89616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1502828351599899E-2"/>
          <c:y val="0.74352405907148389"/>
          <c:w val="0.94388588250178362"/>
          <c:h val="0.235920833333333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54674</xdr:colOff>
      <xdr:row>192</xdr:row>
      <xdr:rowOff>105145</xdr:rowOff>
    </xdr:from>
    <xdr:to>
      <xdr:col>29</xdr:col>
      <xdr:colOff>449036</xdr:colOff>
      <xdr:row>220</xdr:row>
      <xdr:rowOff>34637</xdr:rowOff>
    </xdr:to>
    <xdr:graphicFrame macro="">
      <xdr:nvGraphicFramePr>
        <xdr:cNvPr id="3" name="DiaEbHilfBauteitransmission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205</xdr:colOff>
      <xdr:row>104</xdr:row>
      <xdr:rowOff>33131</xdr:rowOff>
    </xdr:from>
    <xdr:to>
      <xdr:col>17</xdr:col>
      <xdr:colOff>7640</xdr:colOff>
      <xdr:row>121</xdr:row>
      <xdr:rowOff>119675</xdr:rowOff>
    </xdr:to>
    <xdr:graphicFrame macro="">
      <xdr:nvGraphicFramePr>
        <xdr:cNvPr id="2" name="DiaEbHilfRedEndenergie" title="Endenergiebedarf in kWh/a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1035739</xdr:colOff>
      <xdr:row>122</xdr:row>
      <xdr:rowOff>49694</xdr:rowOff>
    </xdr:from>
    <xdr:to>
      <xdr:col>16</xdr:col>
      <xdr:colOff>703587</xdr:colOff>
      <xdr:row>139</xdr:row>
      <xdr:rowOff>136238</xdr:rowOff>
    </xdr:to>
    <xdr:graphicFrame macro="">
      <xdr:nvGraphicFramePr>
        <xdr:cNvPr id="4" name="DiaEbHilfRedPimärenergie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1047127</xdr:colOff>
      <xdr:row>140</xdr:row>
      <xdr:rowOff>149500</xdr:rowOff>
    </xdr:from>
    <xdr:to>
      <xdr:col>17</xdr:col>
      <xdr:colOff>2671</xdr:colOff>
      <xdr:row>158</xdr:row>
      <xdr:rowOff>53826</xdr:rowOff>
    </xdr:to>
    <xdr:graphicFrame macro="">
      <xdr:nvGraphicFramePr>
        <xdr:cNvPr id="5" name="DiaEbHilfRedCO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242</xdr:row>
      <xdr:rowOff>0</xdr:rowOff>
    </xdr:from>
    <xdr:to>
      <xdr:col>8</xdr:col>
      <xdr:colOff>297326</xdr:colOff>
      <xdr:row>260</xdr:row>
      <xdr:rowOff>78261</xdr:rowOff>
    </xdr:to>
    <xdr:graphicFrame macro="">
      <xdr:nvGraphicFramePr>
        <xdr:cNvPr id="6" name="DiaEbHilfZoneListe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752723</xdr:colOff>
      <xdr:row>162</xdr:row>
      <xdr:rowOff>12371</xdr:rowOff>
    </xdr:from>
    <xdr:to>
      <xdr:col>23</xdr:col>
      <xdr:colOff>2833875</xdr:colOff>
      <xdr:row>189</xdr:row>
      <xdr:rowOff>131475</xdr:rowOff>
    </xdr:to>
    <xdr:graphicFrame macro="">
      <xdr:nvGraphicFramePr>
        <xdr:cNvPr id="13" name="D_1" descr="Diagramm 3">
          <a:extLst>
            <a:ext uri="{FF2B5EF4-FFF2-40B4-BE49-F238E27FC236}">
              <a16:creationId xmlns:a16="http://schemas.microsoft.com/office/drawing/2014/main" id="{B36C2043-0829-4E89-8E57-9FDB83B221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122464</xdr:colOff>
      <xdr:row>162</xdr:row>
      <xdr:rowOff>27214</xdr:rowOff>
    </xdr:from>
    <xdr:to>
      <xdr:col>29</xdr:col>
      <xdr:colOff>298617</xdr:colOff>
      <xdr:row>189</xdr:row>
      <xdr:rowOff>146318</xdr:rowOff>
    </xdr:to>
    <xdr:graphicFrame macro="">
      <xdr:nvGraphicFramePr>
        <xdr:cNvPr id="10" name="D_2" descr="Diagramm 3">
          <a:extLst>
            <a:ext uri="{FF2B5EF4-FFF2-40B4-BE49-F238E27FC236}">
              <a16:creationId xmlns:a16="http://schemas.microsoft.com/office/drawing/2014/main" id="{5F398808-5100-474C-880B-4D7A9CCE2E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517071</xdr:colOff>
      <xdr:row>162</xdr:row>
      <xdr:rowOff>13606</xdr:rowOff>
    </xdr:from>
    <xdr:to>
      <xdr:col>33</xdr:col>
      <xdr:colOff>1060617</xdr:colOff>
      <xdr:row>189</xdr:row>
      <xdr:rowOff>132710</xdr:rowOff>
    </xdr:to>
    <xdr:graphicFrame macro="">
      <xdr:nvGraphicFramePr>
        <xdr:cNvPr id="11" name="D_3" descr="Diagramm 3">
          <a:extLst>
            <a:ext uri="{FF2B5EF4-FFF2-40B4-BE49-F238E27FC236}">
              <a16:creationId xmlns:a16="http://schemas.microsoft.com/office/drawing/2014/main" id="{3B20C8AF-F554-4681-83E5-CD24EE871D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B10"/>
  <sheetViews>
    <sheetView workbookViewId="0">
      <selection activeCell="B4" sqref="B4"/>
    </sheetView>
  </sheetViews>
  <sheetFormatPr baseColWidth="10" defaultRowHeight="15" x14ac:dyDescent="0.25"/>
  <sheetData>
    <row r="1" spans="1:2" x14ac:dyDescent="0.25">
      <c r="A1" t="s">
        <v>183</v>
      </c>
    </row>
    <row r="2" spans="1:2" x14ac:dyDescent="0.25">
      <c r="A2" t="s">
        <v>1</v>
      </c>
    </row>
    <row r="4" spans="1:2" x14ac:dyDescent="0.25">
      <c r="A4" t="s">
        <v>135</v>
      </c>
      <c r="B4" t="s">
        <v>325</v>
      </c>
    </row>
    <row r="5" spans="1:2" x14ac:dyDescent="0.25">
      <c r="B5" t="s">
        <v>184</v>
      </c>
    </row>
    <row r="6" spans="1:2" x14ac:dyDescent="0.25">
      <c r="B6" t="s">
        <v>302</v>
      </c>
    </row>
    <row r="8" spans="1:2" x14ac:dyDescent="0.25">
      <c r="A8" t="s">
        <v>136</v>
      </c>
      <c r="B8" t="s">
        <v>301</v>
      </c>
    </row>
    <row r="9" spans="1:2" x14ac:dyDescent="0.25">
      <c r="B9" t="s">
        <v>185</v>
      </c>
    </row>
    <row r="10" spans="1:2" x14ac:dyDescent="0.25">
      <c r="B10" t="s">
        <v>186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/>
  <dimension ref="A1:C13"/>
  <sheetViews>
    <sheetView workbookViewId="0">
      <selection activeCell="B11" sqref="B11"/>
    </sheetView>
  </sheetViews>
  <sheetFormatPr baseColWidth="10" defaultRowHeight="15" x14ac:dyDescent="0.25"/>
  <sheetData>
    <row r="1" spans="1:3" x14ac:dyDescent="0.25">
      <c r="A1" t="s">
        <v>183</v>
      </c>
    </row>
    <row r="2" spans="1:3" x14ac:dyDescent="0.25">
      <c r="A2" t="s">
        <v>1</v>
      </c>
    </row>
    <row r="4" spans="1:3" x14ac:dyDescent="0.25">
      <c r="A4" t="s">
        <v>137</v>
      </c>
      <c r="B4" t="s">
        <v>187</v>
      </c>
      <c r="C4" t="s">
        <v>188</v>
      </c>
    </row>
    <row r="6" spans="1:3" x14ac:dyDescent="0.25">
      <c r="A6" t="s">
        <v>138</v>
      </c>
      <c r="B6" t="s">
        <v>189</v>
      </c>
    </row>
    <row r="7" spans="1:3" x14ac:dyDescent="0.25">
      <c r="A7" t="s">
        <v>139</v>
      </c>
      <c r="B7" t="s">
        <v>190</v>
      </c>
    </row>
    <row r="8" spans="1:3" x14ac:dyDescent="0.25">
      <c r="A8" t="s">
        <v>140</v>
      </c>
      <c r="B8" t="s">
        <v>191</v>
      </c>
    </row>
    <row r="11" spans="1:3" x14ac:dyDescent="0.25">
      <c r="A11" t="s">
        <v>6</v>
      </c>
      <c r="B11">
        <v>1081.5999999999999</v>
      </c>
    </row>
    <row r="12" spans="1:3" x14ac:dyDescent="0.25">
      <c r="A12" t="s">
        <v>7</v>
      </c>
      <c r="B12">
        <v>986.75</v>
      </c>
    </row>
    <row r="13" spans="1:3" x14ac:dyDescent="0.25">
      <c r="A13" t="s">
        <v>141</v>
      </c>
      <c r="B13">
        <v>3380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9"/>
  <dimension ref="A1:J5"/>
  <sheetViews>
    <sheetView workbookViewId="0">
      <selection activeCell="D8" sqref="D8"/>
    </sheetView>
  </sheetViews>
  <sheetFormatPr baseColWidth="10" defaultRowHeight="15" x14ac:dyDescent="0.25"/>
  <sheetData>
    <row r="1" spans="1:10" x14ac:dyDescent="0.25">
      <c r="A1" t="s">
        <v>183</v>
      </c>
    </row>
    <row r="2" spans="1:10" x14ac:dyDescent="0.25">
      <c r="A2" t="s">
        <v>1</v>
      </c>
    </row>
    <row r="4" spans="1:10" x14ac:dyDescent="0.25">
      <c r="B4" t="s">
        <v>166</v>
      </c>
      <c r="C4" t="s">
        <v>9</v>
      </c>
      <c r="D4" t="s">
        <v>167</v>
      </c>
      <c r="E4" t="s">
        <v>168</v>
      </c>
      <c r="F4" t="s">
        <v>52</v>
      </c>
      <c r="G4" t="s">
        <v>169</v>
      </c>
      <c r="H4" t="s">
        <v>170</v>
      </c>
      <c r="I4" t="s">
        <v>171</v>
      </c>
      <c r="J4" t="s">
        <v>172</v>
      </c>
    </row>
    <row r="5" spans="1:10" x14ac:dyDescent="0.25">
      <c r="B5">
        <v>1</v>
      </c>
      <c r="C5" t="s">
        <v>192</v>
      </c>
      <c r="D5">
        <v>2</v>
      </c>
      <c r="E5" t="s">
        <v>193</v>
      </c>
      <c r="F5">
        <v>1229.0899999999999</v>
      </c>
      <c r="G5">
        <v>3380</v>
      </c>
      <c r="H5">
        <v>2704</v>
      </c>
      <c r="I5" t="s">
        <v>173</v>
      </c>
      <c r="J5" t="s">
        <v>174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/>
  <dimension ref="A1:L347"/>
  <sheetViews>
    <sheetView topLeftCell="A195" workbookViewId="0">
      <selection activeCell="C250" sqref="C250"/>
    </sheetView>
  </sheetViews>
  <sheetFormatPr baseColWidth="10" defaultRowHeight="15" x14ac:dyDescent="0.25"/>
  <cols>
    <col min="2" max="2" width="20.42578125" customWidth="1"/>
  </cols>
  <sheetData>
    <row r="1" spans="1:5" x14ac:dyDescent="0.25">
      <c r="A1" t="s">
        <v>183</v>
      </c>
    </row>
    <row r="2" spans="1:5" x14ac:dyDescent="0.25">
      <c r="A2" t="s">
        <v>1</v>
      </c>
    </row>
    <row r="4" spans="1:5" x14ac:dyDescent="0.25">
      <c r="A4" t="s">
        <v>235</v>
      </c>
    </row>
    <row r="5" spans="1:5" x14ac:dyDescent="0.25">
      <c r="B5" t="s">
        <v>9</v>
      </c>
      <c r="C5" t="s">
        <v>194</v>
      </c>
    </row>
    <row r="6" spans="1:5" x14ac:dyDescent="0.25">
      <c r="A6" s="80"/>
      <c r="B6" s="80" t="s">
        <v>142</v>
      </c>
      <c r="C6" s="80" t="s">
        <v>149</v>
      </c>
      <c r="D6" s="80"/>
      <c r="E6" s="80"/>
    </row>
    <row r="7" spans="1:5" x14ac:dyDescent="0.25">
      <c r="A7" s="80"/>
      <c r="B7" s="80" t="s">
        <v>220</v>
      </c>
      <c r="C7" s="80" t="s">
        <v>234</v>
      </c>
      <c r="D7" s="80"/>
      <c r="E7" s="80"/>
    </row>
    <row r="8" spans="1:5" x14ac:dyDescent="0.25">
      <c r="A8" s="80"/>
      <c r="B8" s="80" t="s">
        <v>221</v>
      </c>
      <c r="C8" s="80">
        <v>40000</v>
      </c>
      <c r="D8" s="80"/>
      <c r="E8" s="80"/>
    </row>
    <row r="9" spans="1:5" x14ac:dyDescent="0.25">
      <c r="A9" s="80"/>
      <c r="B9" s="80" t="s">
        <v>222</v>
      </c>
      <c r="C9" s="80">
        <v>23000</v>
      </c>
      <c r="D9" s="80"/>
      <c r="E9" s="80"/>
    </row>
    <row r="10" spans="1:5" x14ac:dyDescent="0.25">
      <c r="A10" s="80"/>
      <c r="B10" s="80" t="s">
        <v>223</v>
      </c>
      <c r="C10" s="80">
        <v>5000</v>
      </c>
      <c r="D10" s="80"/>
      <c r="E10" s="80"/>
    </row>
    <row r="11" spans="1:5" x14ac:dyDescent="0.25">
      <c r="A11" s="80"/>
      <c r="B11" s="80" t="s">
        <v>143</v>
      </c>
      <c r="C11" s="80">
        <v>144451</v>
      </c>
      <c r="D11" s="80">
        <v>144451</v>
      </c>
      <c r="E11" s="80"/>
    </row>
    <row r="12" spans="1:5" x14ac:dyDescent="0.25">
      <c r="A12" s="80"/>
      <c r="B12" s="80" t="s">
        <v>224</v>
      </c>
      <c r="C12" s="80">
        <v>100000</v>
      </c>
      <c r="D12" s="80"/>
      <c r="E12" s="80"/>
    </row>
    <row r="13" spans="1:5" x14ac:dyDescent="0.25">
      <c r="A13" s="80"/>
      <c r="B13" s="80" t="s">
        <v>225</v>
      </c>
      <c r="C13" s="80">
        <v>44451</v>
      </c>
      <c r="D13" s="80"/>
      <c r="E13" s="80"/>
    </row>
    <row r="14" spans="1:5" x14ac:dyDescent="0.25">
      <c r="A14" s="80"/>
      <c r="B14" s="80" t="s">
        <v>226</v>
      </c>
      <c r="C14" s="80">
        <v>22000</v>
      </c>
      <c r="D14" s="80"/>
      <c r="E14" s="80"/>
    </row>
    <row r="15" spans="1:5" x14ac:dyDescent="0.25">
      <c r="A15" s="80"/>
      <c r="B15" s="80" t="s">
        <v>228</v>
      </c>
      <c r="C15" s="80" t="s">
        <v>229</v>
      </c>
      <c r="D15" s="80" t="s">
        <v>230</v>
      </c>
      <c r="E15" s="80" t="s">
        <v>233</v>
      </c>
    </row>
    <row r="16" spans="1:5" x14ac:dyDescent="0.25">
      <c r="A16" s="80"/>
      <c r="B16" s="80" t="s">
        <v>227</v>
      </c>
      <c r="C16" s="80" t="s">
        <v>231</v>
      </c>
      <c r="D16" s="80" t="s">
        <v>232</v>
      </c>
      <c r="E16" s="80" t="s">
        <v>233</v>
      </c>
    </row>
    <row r="17" spans="1:7" x14ac:dyDescent="0.25">
      <c r="A17" s="80"/>
      <c r="B17" s="80" t="s">
        <v>144</v>
      </c>
      <c r="C17" s="80" t="s">
        <v>10</v>
      </c>
      <c r="D17" s="80" t="s">
        <v>158</v>
      </c>
      <c r="E17" s="80" t="s">
        <v>159</v>
      </c>
      <c r="F17" t="s">
        <v>160</v>
      </c>
      <c r="G17" t="s">
        <v>195</v>
      </c>
    </row>
    <row r="18" spans="1:7" x14ac:dyDescent="0.25">
      <c r="A18" s="80"/>
      <c r="B18" s="80" t="s">
        <v>145</v>
      </c>
      <c r="C18" s="80" t="s">
        <v>196</v>
      </c>
      <c r="D18" s="80" t="s">
        <v>197</v>
      </c>
      <c r="E18" s="80" t="s">
        <v>198</v>
      </c>
      <c r="F18" t="s">
        <v>199</v>
      </c>
      <c r="G18" t="s">
        <v>182</v>
      </c>
    </row>
    <row r="19" spans="1:7" x14ac:dyDescent="0.25">
      <c r="A19" s="80"/>
      <c r="B19" s="80"/>
      <c r="C19" s="80"/>
      <c r="D19" s="80"/>
      <c r="E19" s="80"/>
    </row>
    <row r="20" spans="1:7" x14ac:dyDescent="0.25">
      <c r="A20" s="80"/>
      <c r="B20" s="80" t="s">
        <v>130</v>
      </c>
      <c r="C20" s="80" t="s">
        <v>26</v>
      </c>
      <c r="D20" s="80" t="s">
        <v>27</v>
      </c>
      <c r="E20" s="80"/>
    </row>
    <row r="21" spans="1:7" x14ac:dyDescent="0.25">
      <c r="A21" s="80"/>
      <c r="B21" s="80" t="s">
        <v>9</v>
      </c>
      <c r="C21" s="80" t="s">
        <v>200</v>
      </c>
      <c r="D21" s="80" t="s">
        <v>201</v>
      </c>
      <c r="E21" s="80"/>
    </row>
    <row r="22" spans="1:7" x14ac:dyDescent="0.25">
      <c r="A22" s="80"/>
      <c r="B22" s="80" t="s">
        <v>146</v>
      </c>
      <c r="C22" s="80">
        <v>519.01400000000001</v>
      </c>
      <c r="D22" s="80">
        <v>22554.423999999999</v>
      </c>
      <c r="E22" s="80"/>
    </row>
    <row r="23" spans="1:7" x14ac:dyDescent="0.25">
      <c r="A23" s="80"/>
      <c r="B23" s="80" t="s">
        <v>147</v>
      </c>
      <c r="C23" s="80">
        <v>2144.663</v>
      </c>
      <c r="D23" s="80">
        <v>0</v>
      </c>
      <c r="E23" s="80"/>
    </row>
    <row r="24" spans="1:7" x14ac:dyDescent="0.25">
      <c r="A24" s="80"/>
      <c r="B24" s="80" t="s">
        <v>25</v>
      </c>
      <c r="C24" s="80">
        <v>147</v>
      </c>
      <c r="D24" s="80">
        <v>1917</v>
      </c>
      <c r="E24" s="80"/>
    </row>
    <row r="25" spans="1:7" x14ac:dyDescent="0.25">
      <c r="A25" s="80"/>
      <c r="B25" s="80" t="s">
        <v>110</v>
      </c>
      <c r="C25" s="80">
        <v>3860.393</v>
      </c>
      <c r="D25" s="80">
        <v>22351.231</v>
      </c>
      <c r="E25" s="80"/>
    </row>
    <row r="26" spans="1:7" x14ac:dyDescent="0.25">
      <c r="A26" s="80"/>
      <c r="B26" s="80" t="s">
        <v>148</v>
      </c>
      <c r="C26" s="80">
        <v>1201.011</v>
      </c>
      <c r="D26" s="80">
        <v>4876.6319999999996</v>
      </c>
      <c r="E26" s="80"/>
    </row>
    <row r="27" spans="1:7" x14ac:dyDescent="0.25">
      <c r="A27" s="80"/>
      <c r="B27" s="80"/>
      <c r="C27" s="80"/>
      <c r="D27" s="80"/>
      <c r="E27" s="80"/>
    </row>
    <row r="28" spans="1:7" x14ac:dyDescent="0.25">
      <c r="A28" s="80" t="s">
        <v>13</v>
      </c>
      <c r="B28" s="80"/>
      <c r="C28" s="80"/>
      <c r="D28" s="80"/>
      <c r="E28" s="80"/>
    </row>
    <row r="29" spans="1:7" x14ac:dyDescent="0.25">
      <c r="A29" s="80"/>
      <c r="B29" s="80" t="s">
        <v>9</v>
      </c>
      <c r="C29" s="80" t="s">
        <v>202</v>
      </c>
      <c r="D29" s="80"/>
      <c r="E29" s="80"/>
    </row>
    <row r="30" spans="1:7" x14ac:dyDescent="0.25">
      <c r="A30" s="80"/>
      <c r="B30" s="80" t="s">
        <v>142</v>
      </c>
      <c r="C30" s="80" t="s">
        <v>149</v>
      </c>
      <c r="D30" s="80"/>
      <c r="E30" s="80"/>
    </row>
    <row r="31" spans="1:7" x14ac:dyDescent="0.25">
      <c r="A31" s="80"/>
      <c r="B31" s="80" t="s">
        <v>143</v>
      </c>
      <c r="C31" s="80">
        <v>39273</v>
      </c>
      <c r="D31" s="80" t="s">
        <v>150</v>
      </c>
      <c r="E31" s="80">
        <v>39273</v>
      </c>
    </row>
    <row r="32" spans="1:7" x14ac:dyDescent="0.25">
      <c r="A32" s="80"/>
      <c r="B32" s="80" t="s">
        <v>224</v>
      </c>
      <c r="C32" s="80">
        <v>30000</v>
      </c>
      <c r="D32" s="80"/>
      <c r="E32" s="80"/>
    </row>
    <row r="33" spans="1:6" x14ac:dyDescent="0.25">
      <c r="A33" s="80"/>
      <c r="B33" s="80" t="s">
        <v>225</v>
      </c>
      <c r="C33" s="80">
        <v>9273</v>
      </c>
      <c r="D33" s="80"/>
      <c r="E33" s="80"/>
    </row>
    <row r="34" spans="1:6" x14ac:dyDescent="0.25">
      <c r="A34" s="80"/>
      <c r="B34" s="80" t="s">
        <v>226</v>
      </c>
      <c r="C34" s="80">
        <v>10000</v>
      </c>
      <c r="D34" s="80"/>
      <c r="E34" s="80"/>
    </row>
    <row r="35" spans="1:6" x14ac:dyDescent="0.25">
      <c r="A35" s="80"/>
      <c r="B35" s="80" t="s">
        <v>144</v>
      </c>
      <c r="C35" s="80" t="s">
        <v>10</v>
      </c>
      <c r="D35" s="80" t="s">
        <v>158</v>
      </c>
      <c r="E35" s="80"/>
    </row>
    <row r="36" spans="1:6" x14ac:dyDescent="0.25">
      <c r="A36" s="80"/>
      <c r="B36" s="80" t="s">
        <v>145</v>
      </c>
      <c r="C36" s="80" t="s">
        <v>197</v>
      </c>
      <c r="D36" s="80" t="s">
        <v>198</v>
      </c>
      <c r="E36" s="80"/>
    </row>
    <row r="37" spans="1:6" x14ac:dyDescent="0.25">
      <c r="A37" s="80"/>
      <c r="B37" s="80" t="s">
        <v>221</v>
      </c>
      <c r="C37" s="80">
        <v>45000.5</v>
      </c>
      <c r="D37" s="80"/>
      <c r="E37" s="80"/>
    </row>
    <row r="38" spans="1:6" x14ac:dyDescent="0.25">
      <c r="A38" s="80"/>
      <c r="B38" s="80" t="s">
        <v>222</v>
      </c>
      <c r="C38" s="80">
        <v>2500.5450000000001</v>
      </c>
      <c r="D38" s="80"/>
      <c r="E38" s="80"/>
    </row>
    <row r="39" spans="1:6" x14ac:dyDescent="0.25">
      <c r="A39" s="80"/>
      <c r="B39" s="80" t="s">
        <v>223</v>
      </c>
      <c r="C39" s="80">
        <v>5.6220999999999997</v>
      </c>
      <c r="D39" s="80"/>
      <c r="E39" s="80"/>
    </row>
    <row r="40" spans="1:6" x14ac:dyDescent="0.25">
      <c r="A40" s="80"/>
      <c r="B40" s="80" t="s">
        <v>304</v>
      </c>
      <c r="C40" s="80"/>
      <c r="D40" s="80"/>
      <c r="E40" s="80"/>
    </row>
    <row r="41" spans="1:6" x14ac:dyDescent="0.25">
      <c r="A41" s="80"/>
      <c r="B41" s="80" t="s">
        <v>228</v>
      </c>
      <c r="C41" s="80" t="s">
        <v>229</v>
      </c>
      <c r="D41" s="80" t="s">
        <v>230</v>
      </c>
      <c r="E41" s="80" t="s">
        <v>233</v>
      </c>
      <c r="F41" s="79"/>
    </row>
    <row r="42" spans="1:6" x14ac:dyDescent="0.25">
      <c r="A42" s="80"/>
      <c r="B42" s="80" t="s">
        <v>227</v>
      </c>
      <c r="C42" s="80" t="s">
        <v>231</v>
      </c>
      <c r="D42" s="80" t="s">
        <v>232</v>
      </c>
      <c r="E42" s="80" t="s">
        <v>233</v>
      </c>
      <c r="F42" s="79"/>
    </row>
    <row r="43" spans="1:6" x14ac:dyDescent="0.25">
      <c r="A43" s="80"/>
      <c r="B43" s="80"/>
      <c r="C43" s="80"/>
      <c r="D43" s="80"/>
      <c r="E43" s="80"/>
    </row>
    <row r="44" spans="1:6" x14ac:dyDescent="0.25">
      <c r="A44" s="80"/>
      <c r="B44" s="80" t="s">
        <v>130</v>
      </c>
      <c r="C44" s="80" t="s">
        <v>26</v>
      </c>
      <c r="D44" s="80" t="s">
        <v>27</v>
      </c>
      <c r="E44" s="80"/>
    </row>
    <row r="45" spans="1:6" x14ac:dyDescent="0.25">
      <c r="A45" s="80"/>
      <c r="B45" s="80" t="s">
        <v>9</v>
      </c>
      <c r="C45" s="80" t="s">
        <v>200</v>
      </c>
      <c r="D45" s="80" t="s">
        <v>201</v>
      </c>
      <c r="E45" s="80"/>
    </row>
    <row r="46" spans="1:6" x14ac:dyDescent="0.25">
      <c r="A46" s="80"/>
      <c r="B46" s="80" t="s">
        <v>146</v>
      </c>
      <c r="C46" s="80">
        <v>1982.441</v>
      </c>
      <c r="D46" s="80">
        <v>132318.75</v>
      </c>
      <c r="E46" s="80"/>
    </row>
    <row r="47" spans="1:6" x14ac:dyDescent="0.25">
      <c r="A47" s="80"/>
      <c r="B47" s="80" t="s">
        <v>147</v>
      </c>
      <c r="C47" s="80">
        <v>1982.441</v>
      </c>
      <c r="D47" s="80">
        <v>0</v>
      </c>
      <c r="E47" s="80"/>
    </row>
    <row r="48" spans="1:6" x14ac:dyDescent="0.25">
      <c r="A48" s="80"/>
      <c r="B48" s="80" t="s">
        <v>25</v>
      </c>
      <c r="C48" s="80">
        <v>563</v>
      </c>
      <c r="D48" s="80">
        <v>11247</v>
      </c>
      <c r="E48" s="80"/>
    </row>
    <row r="49" spans="1:7" x14ac:dyDescent="0.25">
      <c r="A49" s="80"/>
      <c r="B49" s="80" t="s">
        <v>110</v>
      </c>
      <c r="C49" s="80">
        <v>3568.3939999999998</v>
      </c>
      <c r="D49" s="80">
        <v>131126.68799999999</v>
      </c>
      <c r="E49" s="80"/>
    </row>
    <row r="50" spans="1:7" x14ac:dyDescent="0.25">
      <c r="A50" s="80"/>
      <c r="B50" s="80" t="s">
        <v>148</v>
      </c>
      <c r="C50" s="80">
        <v>1110.1669999999999</v>
      </c>
      <c r="D50" s="80">
        <v>28609.458999999999</v>
      </c>
      <c r="E50" s="80"/>
    </row>
    <row r="51" spans="1:7" x14ac:dyDescent="0.25">
      <c r="A51" s="80"/>
      <c r="B51" s="80"/>
      <c r="C51" s="80"/>
      <c r="D51" s="80"/>
    </row>
    <row r="52" spans="1:7" x14ac:dyDescent="0.25">
      <c r="A52" s="80" t="s">
        <v>14</v>
      </c>
      <c r="B52" s="80"/>
      <c r="C52" s="80"/>
      <c r="D52" s="80"/>
    </row>
    <row r="53" spans="1:7" x14ac:dyDescent="0.25">
      <c r="A53" s="80"/>
      <c r="B53" s="80" t="s">
        <v>9</v>
      </c>
      <c r="C53" s="80" t="s">
        <v>203</v>
      </c>
      <c r="D53" s="80"/>
    </row>
    <row r="54" spans="1:7" x14ac:dyDescent="0.25">
      <c r="A54" s="80"/>
      <c r="B54" s="80" t="s">
        <v>142</v>
      </c>
      <c r="C54" s="80" t="s">
        <v>149</v>
      </c>
      <c r="D54" s="80"/>
    </row>
    <row r="55" spans="1:7" x14ac:dyDescent="0.25">
      <c r="A55" s="80"/>
      <c r="B55" s="80" t="s">
        <v>143</v>
      </c>
      <c r="C55" s="80">
        <v>144452</v>
      </c>
      <c r="D55" s="80" t="s">
        <v>150</v>
      </c>
      <c r="E55">
        <v>144452</v>
      </c>
    </row>
    <row r="56" spans="1:7" x14ac:dyDescent="0.25">
      <c r="A56" s="80"/>
      <c r="B56" s="80" t="s">
        <v>224</v>
      </c>
      <c r="C56" s="80">
        <v>140000</v>
      </c>
      <c r="D56" s="80"/>
    </row>
    <row r="57" spans="1:7" x14ac:dyDescent="0.25">
      <c r="A57" s="80"/>
      <c r="B57" s="80" t="s">
        <v>225</v>
      </c>
      <c r="C57" s="80">
        <v>4452</v>
      </c>
      <c r="D57" s="80"/>
    </row>
    <row r="58" spans="1:7" x14ac:dyDescent="0.25">
      <c r="A58" s="80"/>
      <c r="B58" s="80" t="s">
        <v>226</v>
      </c>
      <c r="C58" s="80">
        <v>15000</v>
      </c>
      <c r="D58" s="80"/>
    </row>
    <row r="59" spans="1:7" x14ac:dyDescent="0.25">
      <c r="A59" s="80"/>
      <c r="B59" s="80" t="s">
        <v>144</v>
      </c>
      <c r="C59" s="80" t="s">
        <v>10</v>
      </c>
      <c r="D59" s="80" t="s">
        <v>158</v>
      </c>
      <c r="E59" t="s">
        <v>159</v>
      </c>
      <c r="F59" t="s">
        <v>160</v>
      </c>
      <c r="G59" t="s">
        <v>195</v>
      </c>
    </row>
    <row r="60" spans="1:7" x14ac:dyDescent="0.25">
      <c r="A60" s="80"/>
      <c r="B60" s="80" t="s">
        <v>145</v>
      </c>
      <c r="C60" s="80" t="s">
        <v>196</v>
      </c>
      <c r="D60" s="80" t="s">
        <v>197</v>
      </c>
      <c r="E60" t="s">
        <v>198</v>
      </c>
      <c r="F60" t="s">
        <v>199</v>
      </c>
      <c r="G60" t="s">
        <v>219</v>
      </c>
    </row>
    <row r="61" spans="1:7" x14ac:dyDescent="0.25">
      <c r="A61" s="80"/>
      <c r="B61" s="80" t="s">
        <v>221</v>
      </c>
      <c r="C61" s="80">
        <v>156465.2561</v>
      </c>
      <c r="D61" s="80"/>
    </row>
    <row r="62" spans="1:7" x14ac:dyDescent="0.25">
      <c r="A62" s="80"/>
      <c r="B62" s="80" t="s">
        <v>222</v>
      </c>
      <c r="C62" s="80">
        <v>25611.156449999999</v>
      </c>
      <c r="D62" s="80"/>
    </row>
    <row r="63" spans="1:7" x14ac:dyDescent="0.25">
      <c r="A63" s="80"/>
      <c r="B63" s="80" t="s">
        <v>223</v>
      </c>
      <c r="C63" s="80">
        <v>51.555999999999997</v>
      </c>
      <c r="D63" s="80"/>
    </row>
    <row r="64" spans="1:7" x14ac:dyDescent="0.25">
      <c r="A64" s="80"/>
      <c r="B64" s="80" t="s">
        <v>303</v>
      </c>
      <c r="C64" s="80">
        <v>2</v>
      </c>
      <c r="D64" s="80"/>
    </row>
    <row r="65" spans="1:4" x14ac:dyDescent="0.25">
      <c r="A65" s="80"/>
      <c r="B65" s="80"/>
      <c r="C65" s="80"/>
      <c r="D65" s="80"/>
    </row>
    <row r="66" spans="1:4" x14ac:dyDescent="0.25">
      <c r="A66" s="80"/>
      <c r="B66" s="80" t="s">
        <v>130</v>
      </c>
      <c r="C66" s="80" t="s">
        <v>26</v>
      </c>
      <c r="D66" s="80" t="s">
        <v>27</v>
      </c>
    </row>
    <row r="67" spans="1:4" x14ac:dyDescent="0.25">
      <c r="A67" s="80"/>
      <c r="B67" s="80" t="s">
        <v>9</v>
      </c>
      <c r="C67" s="80" t="s">
        <v>200</v>
      </c>
      <c r="D67" s="80" t="s">
        <v>201</v>
      </c>
    </row>
    <row r="68" spans="1:4" x14ac:dyDescent="0.25">
      <c r="A68" s="80"/>
      <c r="B68" s="80" t="s">
        <v>146</v>
      </c>
      <c r="C68" s="80">
        <v>738.07399999999996</v>
      </c>
      <c r="D68" s="80">
        <v>37647.582000000002</v>
      </c>
    </row>
    <row r="69" spans="1:4" x14ac:dyDescent="0.25">
      <c r="A69" s="80"/>
      <c r="B69" s="80" t="s">
        <v>147</v>
      </c>
      <c r="C69" s="80">
        <v>738.07399999999996</v>
      </c>
      <c r="D69" s="80">
        <v>0</v>
      </c>
    </row>
    <row r="70" spans="1:4" x14ac:dyDescent="0.25">
      <c r="A70" s="80"/>
      <c r="B70" s="80" t="s">
        <v>25</v>
      </c>
      <c r="C70" s="80">
        <v>210</v>
      </c>
      <c r="D70" s="80">
        <v>3200</v>
      </c>
    </row>
    <row r="71" spans="1:4" x14ac:dyDescent="0.25">
      <c r="B71" t="s">
        <v>110</v>
      </c>
      <c r="C71">
        <v>1328.5329999999999</v>
      </c>
      <c r="D71">
        <v>37308.413999999997</v>
      </c>
    </row>
    <row r="72" spans="1:4" x14ac:dyDescent="0.25">
      <c r="B72" t="s">
        <v>148</v>
      </c>
      <c r="C72">
        <v>413.32100000000003</v>
      </c>
      <c r="D72">
        <v>8140.018</v>
      </c>
    </row>
    <row r="225" spans="1:12" x14ac:dyDescent="0.25">
      <c r="A225" s="80"/>
      <c r="B225" s="80"/>
      <c r="C225" s="80"/>
      <c r="D225" s="80"/>
      <c r="E225" s="80"/>
      <c r="F225" s="80"/>
      <c r="G225" s="80"/>
      <c r="H225" s="80"/>
      <c r="I225" s="80"/>
      <c r="J225" s="80"/>
      <c r="K225" s="80"/>
      <c r="L225" s="80"/>
    </row>
    <row r="226" spans="1:12" x14ac:dyDescent="0.25">
      <c r="A226" s="80"/>
      <c r="B226" s="80"/>
      <c r="C226" s="80"/>
      <c r="D226" s="80"/>
      <c r="E226" s="80"/>
      <c r="F226" s="80"/>
      <c r="G226" s="80"/>
      <c r="H226" s="80"/>
      <c r="I226" s="80"/>
      <c r="J226" s="80"/>
      <c r="K226" s="80"/>
      <c r="L226" s="80"/>
    </row>
    <row r="227" spans="1:12" x14ac:dyDescent="0.25">
      <c r="A227" s="80" t="s">
        <v>24</v>
      </c>
      <c r="B227" s="80"/>
      <c r="C227" s="80"/>
      <c r="D227" s="80"/>
      <c r="E227" s="80"/>
      <c r="F227" s="80"/>
      <c r="G227" s="80"/>
      <c r="H227" s="80"/>
      <c r="I227" s="80"/>
      <c r="J227" s="80"/>
      <c r="K227" s="80"/>
      <c r="L227" s="80"/>
    </row>
    <row r="228" spans="1:12" x14ac:dyDescent="0.25">
      <c r="A228" s="80"/>
      <c r="B228" s="80" t="s">
        <v>221</v>
      </c>
      <c r="C228" s="80">
        <v>294961.63500000001</v>
      </c>
      <c r="D228" s="80"/>
      <c r="E228" s="80"/>
      <c r="F228" s="80"/>
      <c r="G228" s="80"/>
      <c r="H228" s="80"/>
      <c r="I228" s="80"/>
      <c r="J228" s="80"/>
      <c r="K228" s="80"/>
      <c r="L228" s="80"/>
    </row>
    <row r="229" spans="1:12" x14ac:dyDescent="0.25">
      <c r="A229" s="80"/>
      <c r="B229" s="80" t="s">
        <v>222</v>
      </c>
      <c r="C229" s="80"/>
      <c r="D229" s="80"/>
      <c r="E229" s="80"/>
      <c r="F229" s="80"/>
      <c r="G229" s="80"/>
      <c r="H229" s="80"/>
      <c r="I229" s="80"/>
      <c r="J229" s="80"/>
      <c r="K229" s="80"/>
      <c r="L229" s="80"/>
    </row>
    <row r="230" spans="1:12" x14ac:dyDescent="0.25">
      <c r="A230" s="80"/>
      <c r="B230" s="80" t="s">
        <v>305</v>
      </c>
      <c r="C230" s="80">
        <v>91765.842000000004</v>
      </c>
      <c r="D230" s="80"/>
      <c r="E230" s="80"/>
      <c r="F230" s="80"/>
      <c r="G230" s="80"/>
      <c r="H230" s="80"/>
      <c r="I230" s="80"/>
      <c r="J230" s="80"/>
      <c r="K230" s="80"/>
      <c r="L230" s="80"/>
    </row>
    <row r="231" spans="1:12" x14ac:dyDescent="0.25">
      <c r="A231" s="80"/>
      <c r="B231" s="80" t="s">
        <v>130</v>
      </c>
      <c r="C231" s="80" t="s">
        <v>26</v>
      </c>
      <c r="D231" s="80"/>
      <c r="E231" s="80"/>
      <c r="F231" s="80"/>
      <c r="G231" s="80"/>
      <c r="H231" s="80"/>
      <c r="I231" s="80"/>
      <c r="J231" s="80"/>
      <c r="K231" s="80"/>
      <c r="L231" s="80"/>
    </row>
    <row r="232" spans="1:12" x14ac:dyDescent="0.25">
      <c r="A232" s="80"/>
      <c r="B232" s="80" t="s">
        <v>9</v>
      </c>
      <c r="C232" s="80" t="s">
        <v>200</v>
      </c>
      <c r="D232" s="80"/>
      <c r="E232" s="80"/>
      <c r="F232" s="80"/>
      <c r="G232" s="80"/>
      <c r="H232" s="80"/>
      <c r="I232" s="80"/>
      <c r="J232" s="80"/>
      <c r="K232" s="80"/>
      <c r="L232" s="80"/>
    </row>
    <row r="233" spans="1:12" x14ac:dyDescent="0.25">
      <c r="A233" s="80"/>
      <c r="B233" s="80" t="s">
        <v>146</v>
      </c>
      <c r="C233" s="80">
        <v>163867.57500000001</v>
      </c>
      <c r="D233" s="80"/>
      <c r="E233" s="80"/>
      <c r="F233" s="80"/>
      <c r="G233" s="80"/>
      <c r="H233" s="80"/>
      <c r="I233" s="80"/>
      <c r="J233" s="80"/>
      <c r="K233" s="80"/>
      <c r="L233" s="80"/>
    </row>
    <row r="234" spans="1:12" x14ac:dyDescent="0.25">
      <c r="A234" s="80"/>
      <c r="B234" s="80" t="s">
        <v>147</v>
      </c>
      <c r="C234" s="80">
        <v>1442.433</v>
      </c>
      <c r="D234" s="80"/>
      <c r="E234" s="80"/>
      <c r="F234" s="80"/>
      <c r="G234" s="80"/>
      <c r="H234" s="80"/>
      <c r="I234" s="80"/>
      <c r="J234" s="80"/>
      <c r="K234" s="80"/>
      <c r="L234" s="80"/>
    </row>
    <row r="235" spans="1:12" x14ac:dyDescent="0.25">
      <c r="A235" s="80"/>
      <c r="B235" s="80" t="s">
        <v>25</v>
      </c>
      <c r="C235" s="80">
        <v>46538</v>
      </c>
      <c r="D235" s="80"/>
      <c r="E235" s="80"/>
      <c r="F235" s="80"/>
      <c r="G235" s="80"/>
      <c r="H235" s="80"/>
      <c r="I235" s="80"/>
      <c r="J235" s="80"/>
      <c r="K235" s="80"/>
      <c r="L235" s="80"/>
    </row>
    <row r="236" spans="1:12" x14ac:dyDescent="0.25">
      <c r="A236" s="80"/>
      <c r="B236" s="80" t="s">
        <v>110</v>
      </c>
      <c r="C236" s="80">
        <v>2563</v>
      </c>
      <c r="D236" s="80"/>
      <c r="E236" s="80"/>
      <c r="F236" s="80"/>
      <c r="G236" s="80"/>
      <c r="H236" s="80"/>
      <c r="I236" s="80"/>
      <c r="J236" s="80"/>
      <c r="K236" s="80"/>
      <c r="L236" s="80"/>
    </row>
    <row r="237" spans="1:12" x14ac:dyDescent="0.25">
      <c r="A237" s="80"/>
      <c r="B237" s="80" t="s">
        <v>148</v>
      </c>
      <c r="C237" s="80">
        <v>22</v>
      </c>
      <c r="D237" s="80"/>
      <c r="E237" s="80"/>
      <c r="F237" s="80"/>
      <c r="G237" s="80"/>
      <c r="H237" s="80"/>
      <c r="I237" s="80"/>
      <c r="J237" s="80"/>
      <c r="K237" s="80"/>
      <c r="L237" s="80"/>
    </row>
    <row r="238" spans="1:12" x14ac:dyDescent="0.25">
      <c r="A238" s="80"/>
      <c r="B238" s="80"/>
      <c r="C238" s="80"/>
      <c r="D238" s="80"/>
      <c r="E238" s="80"/>
      <c r="F238" s="80"/>
      <c r="G238" s="80"/>
      <c r="H238" s="80"/>
      <c r="I238" s="80"/>
      <c r="J238" s="80"/>
      <c r="K238" s="80"/>
      <c r="L238" s="80"/>
    </row>
    <row r="239" spans="1:12" x14ac:dyDescent="0.25">
      <c r="A239" s="80" t="s">
        <v>46</v>
      </c>
      <c r="B239" s="80"/>
      <c r="C239" s="80"/>
      <c r="D239" s="80"/>
      <c r="E239" s="80"/>
      <c r="F239" s="80"/>
      <c r="G239" s="80"/>
      <c r="H239" s="80"/>
      <c r="I239" s="80"/>
      <c r="J239" s="80"/>
      <c r="K239" s="80"/>
      <c r="L239" s="80"/>
    </row>
    <row r="240" spans="1:12" x14ac:dyDescent="0.25">
      <c r="A240" s="80"/>
      <c r="B240" s="80" t="s">
        <v>130</v>
      </c>
      <c r="C240" s="80" t="s">
        <v>26</v>
      </c>
      <c r="D240" s="80" t="s">
        <v>27</v>
      </c>
      <c r="E240" s="80"/>
      <c r="F240" s="80"/>
      <c r="G240" s="80"/>
      <c r="H240" s="80"/>
      <c r="I240" s="80"/>
      <c r="J240" s="80"/>
      <c r="K240" s="80"/>
      <c r="L240" s="80"/>
    </row>
    <row r="241" spans="1:12" x14ac:dyDescent="0.25">
      <c r="A241" s="80"/>
      <c r="B241" s="80" t="s">
        <v>9</v>
      </c>
      <c r="C241" s="80" t="s">
        <v>200</v>
      </c>
      <c r="D241" s="80" t="s">
        <v>201</v>
      </c>
      <c r="E241" s="80"/>
      <c r="F241" s="80"/>
      <c r="G241" s="80"/>
      <c r="H241" s="80"/>
      <c r="I241" s="80"/>
      <c r="J241" s="80"/>
      <c r="K241" s="80"/>
      <c r="L241" s="80"/>
    </row>
    <row r="242" spans="1:12" x14ac:dyDescent="0.25">
      <c r="A242" s="80"/>
      <c r="B242" s="80" t="s">
        <v>131</v>
      </c>
      <c r="C242" s="80">
        <v>0</v>
      </c>
      <c r="D242" s="80">
        <v>0</v>
      </c>
      <c r="E242" s="80"/>
      <c r="F242" s="80"/>
      <c r="G242" s="80"/>
      <c r="H242" s="80"/>
      <c r="I242" s="80"/>
      <c r="J242" s="80"/>
      <c r="K242" s="80"/>
      <c r="L242" s="80"/>
    </row>
    <row r="243" spans="1:12" x14ac:dyDescent="0.25">
      <c r="A243" s="80"/>
      <c r="B243" s="80" t="s">
        <v>151</v>
      </c>
      <c r="C243" s="80">
        <v>28.4</v>
      </c>
      <c r="D243" s="80">
        <v>8.5</v>
      </c>
      <c r="E243" s="80"/>
      <c r="F243" s="80"/>
      <c r="G243" s="80"/>
      <c r="H243" s="80"/>
      <c r="I243" s="80"/>
      <c r="J243" s="80"/>
      <c r="K243" s="80"/>
      <c r="L243" s="80"/>
    </row>
    <row r="244" spans="1:12" x14ac:dyDescent="0.25">
      <c r="A244" s="80"/>
      <c r="B244" s="80"/>
      <c r="C244" s="80"/>
      <c r="D244" s="80"/>
      <c r="E244" s="80"/>
      <c r="F244" s="80"/>
      <c r="G244" s="80"/>
      <c r="H244" s="80"/>
      <c r="I244" s="80"/>
      <c r="J244" s="80"/>
      <c r="K244" s="80"/>
      <c r="L244" s="80"/>
    </row>
    <row r="245" spans="1:12" x14ac:dyDescent="0.25">
      <c r="A245" s="80" t="s">
        <v>256</v>
      </c>
      <c r="B245" s="80"/>
      <c r="C245" s="80"/>
      <c r="D245" s="80"/>
      <c r="E245" s="80"/>
      <c r="F245" s="80"/>
      <c r="G245" s="80"/>
      <c r="H245" s="80"/>
      <c r="I245" s="80"/>
      <c r="J245" s="80"/>
      <c r="K245" s="80"/>
      <c r="L245" s="80"/>
    </row>
    <row r="246" spans="1:12" x14ac:dyDescent="0.25">
      <c r="A246" s="80" t="s">
        <v>267</v>
      </c>
      <c r="B246" s="80"/>
      <c r="C246" s="80"/>
      <c r="D246" s="80"/>
      <c r="E246" s="80"/>
      <c r="F246" s="80" t="s">
        <v>259</v>
      </c>
      <c r="G246" s="80"/>
      <c r="H246" s="80" t="s">
        <v>271</v>
      </c>
      <c r="I246" s="80"/>
      <c r="J246" s="80"/>
      <c r="K246" s="80"/>
      <c r="L246" s="80"/>
    </row>
    <row r="247" spans="1:12" x14ac:dyDescent="0.25">
      <c r="A247" s="80"/>
      <c r="B247" s="80" t="s">
        <v>257</v>
      </c>
      <c r="C247" s="80" t="s">
        <v>54</v>
      </c>
      <c r="D247" s="80" t="s">
        <v>258</v>
      </c>
      <c r="E247" s="80" t="s">
        <v>51</v>
      </c>
      <c r="F247" s="80" t="s">
        <v>260</v>
      </c>
      <c r="G247" s="80" t="s">
        <v>261</v>
      </c>
      <c r="H247" s="80" t="s">
        <v>260</v>
      </c>
      <c r="I247" s="80" t="s">
        <v>261</v>
      </c>
      <c r="J247" s="80"/>
      <c r="K247" s="80"/>
      <c r="L247" s="80"/>
    </row>
    <row r="248" spans="1:12" x14ac:dyDescent="0.25">
      <c r="A248" s="80"/>
      <c r="B248" s="80"/>
      <c r="C248" s="80"/>
      <c r="D248" s="80"/>
      <c r="E248" s="80" t="s">
        <v>57</v>
      </c>
      <c r="F248" s="80" t="s">
        <v>57</v>
      </c>
      <c r="G248" s="80" t="s">
        <v>57</v>
      </c>
      <c r="H248" s="80" t="s">
        <v>57</v>
      </c>
      <c r="I248" s="80" t="s">
        <v>57</v>
      </c>
      <c r="J248" s="80"/>
      <c r="K248" s="80"/>
      <c r="L248" s="80"/>
    </row>
    <row r="249" spans="1:12" x14ac:dyDescent="0.25">
      <c r="A249" s="80">
        <v>1</v>
      </c>
      <c r="B249" s="80" t="s">
        <v>278</v>
      </c>
      <c r="C249" s="80" t="s">
        <v>262</v>
      </c>
      <c r="D249" s="85" t="s">
        <v>279</v>
      </c>
      <c r="E249" s="80" t="s">
        <v>265</v>
      </c>
      <c r="F249" s="80" t="s">
        <v>272</v>
      </c>
      <c r="G249" s="80" t="s">
        <v>273</v>
      </c>
      <c r="H249" s="80" t="s">
        <v>274</v>
      </c>
      <c r="I249" s="80" t="s">
        <v>275</v>
      </c>
      <c r="J249" s="80"/>
      <c r="K249" s="80"/>
      <c r="L249" s="80"/>
    </row>
    <row r="250" spans="1:12" x14ac:dyDescent="0.25">
      <c r="A250" s="80">
        <v>2</v>
      </c>
      <c r="B250" s="80" t="s">
        <v>270</v>
      </c>
      <c r="C250" s="80">
        <v>2</v>
      </c>
      <c r="D250" s="80">
        <v>3</v>
      </c>
      <c r="E250" s="80">
        <v>4</v>
      </c>
      <c r="F250" s="80">
        <v>5</v>
      </c>
      <c r="G250" s="80">
        <v>6</v>
      </c>
      <c r="H250" s="80">
        <v>7</v>
      </c>
      <c r="I250" s="80">
        <v>8</v>
      </c>
      <c r="J250" s="80"/>
      <c r="K250" s="80"/>
      <c r="L250" s="80"/>
    </row>
    <row r="251" spans="1:12" x14ac:dyDescent="0.25">
      <c r="A251">
        <v>3</v>
      </c>
    </row>
    <row r="252" spans="1:12" x14ac:dyDescent="0.25">
      <c r="A252">
        <v>4</v>
      </c>
    </row>
    <row r="253" spans="1:12" x14ac:dyDescent="0.25">
      <c r="A253">
        <v>5</v>
      </c>
    </row>
    <row r="254" spans="1:12" x14ac:dyDescent="0.25">
      <c r="A254">
        <v>6</v>
      </c>
    </row>
    <row r="255" spans="1:12" x14ac:dyDescent="0.25">
      <c r="A255">
        <v>7</v>
      </c>
    </row>
    <row r="256" spans="1:12" x14ac:dyDescent="0.25">
      <c r="A256">
        <v>8</v>
      </c>
    </row>
    <row r="257" spans="1:1" x14ac:dyDescent="0.25">
      <c r="A257">
        <v>9</v>
      </c>
    </row>
    <row r="258" spans="1:1" x14ac:dyDescent="0.25">
      <c r="A258">
        <v>10</v>
      </c>
    </row>
    <row r="259" spans="1:1" x14ac:dyDescent="0.25">
      <c r="A259">
        <v>11</v>
      </c>
    </row>
    <row r="260" spans="1:1" x14ac:dyDescent="0.25">
      <c r="A260">
        <v>12</v>
      </c>
    </row>
    <row r="261" spans="1:1" x14ac:dyDescent="0.25">
      <c r="A261">
        <v>13</v>
      </c>
    </row>
    <row r="262" spans="1:1" x14ac:dyDescent="0.25">
      <c r="A262">
        <v>14</v>
      </c>
    </row>
    <row r="263" spans="1:1" x14ac:dyDescent="0.25">
      <c r="A263">
        <v>15</v>
      </c>
    </row>
    <row r="264" spans="1:1" x14ac:dyDescent="0.25">
      <c r="A264">
        <v>16</v>
      </c>
    </row>
    <row r="265" spans="1:1" x14ac:dyDescent="0.25">
      <c r="A265">
        <v>17</v>
      </c>
    </row>
    <row r="266" spans="1:1" x14ac:dyDescent="0.25">
      <c r="A266">
        <v>18</v>
      </c>
    </row>
    <row r="267" spans="1:1" x14ac:dyDescent="0.25">
      <c r="A267">
        <v>19</v>
      </c>
    </row>
    <row r="268" spans="1:1" x14ac:dyDescent="0.25">
      <c r="A268">
        <v>20</v>
      </c>
    </row>
    <row r="269" spans="1:1" x14ac:dyDescent="0.25">
      <c r="A269">
        <v>21</v>
      </c>
    </row>
    <row r="270" spans="1:1" x14ac:dyDescent="0.25">
      <c r="A270">
        <v>22</v>
      </c>
    </row>
    <row r="271" spans="1:1" x14ac:dyDescent="0.25">
      <c r="A271">
        <v>23</v>
      </c>
    </row>
    <row r="272" spans="1:1" x14ac:dyDescent="0.25">
      <c r="A272">
        <v>24</v>
      </c>
    </row>
    <row r="273" spans="1:1" x14ac:dyDescent="0.25">
      <c r="A273">
        <v>25</v>
      </c>
    </row>
    <row r="274" spans="1:1" x14ac:dyDescent="0.25">
      <c r="A274">
        <v>26</v>
      </c>
    </row>
    <row r="275" spans="1:1" x14ac:dyDescent="0.25">
      <c r="A275">
        <v>27</v>
      </c>
    </row>
    <row r="276" spans="1:1" x14ac:dyDescent="0.25">
      <c r="A276">
        <v>28</v>
      </c>
    </row>
    <row r="277" spans="1:1" x14ac:dyDescent="0.25">
      <c r="A277">
        <v>29</v>
      </c>
    </row>
    <row r="278" spans="1:1" x14ac:dyDescent="0.25">
      <c r="A278">
        <v>30</v>
      </c>
    </row>
    <row r="279" spans="1:1" x14ac:dyDescent="0.25">
      <c r="A279">
        <v>31</v>
      </c>
    </row>
    <row r="280" spans="1:1" x14ac:dyDescent="0.25">
      <c r="A280">
        <v>32</v>
      </c>
    </row>
    <row r="281" spans="1:1" x14ac:dyDescent="0.25">
      <c r="A281">
        <v>33</v>
      </c>
    </row>
    <row r="282" spans="1:1" x14ac:dyDescent="0.25">
      <c r="A282">
        <v>34</v>
      </c>
    </row>
    <row r="283" spans="1:1" x14ac:dyDescent="0.25">
      <c r="A283">
        <v>35</v>
      </c>
    </row>
    <row r="284" spans="1:1" x14ac:dyDescent="0.25">
      <c r="A284">
        <v>36</v>
      </c>
    </row>
    <row r="285" spans="1:1" x14ac:dyDescent="0.25">
      <c r="A285">
        <v>37</v>
      </c>
    </row>
    <row r="286" spans="1:1" x14ac:dyDescent="0.25">
      <c r="A286">
        <v>38</v>
      </c>
    </row>
    <row r="287" spans="1:1" x14ac:dyDescent="0.25">
      <c r="A287">
        <v>39</v>
      </c>
    </row>
    <row r="288" spans="1:1" x14ac:dyDescent="0.25">
      <c r="A288">
        <v>40</v>
      </c>
    </row>
    <row r="289" spans="1:1" x14ac:dyDescent="0.25">
      <c r="A289">
        <v>41</v>
      </c>
    </row>
    <row r="290" spans="1:1" x14ac:dyDescent="0.25">
      <c r="A290">
        <v>42</v>
      </c>
    </row>
    <row r="291" spans="1:1" x14ac:dyDescent="0.25">
      <c r="A291">
        <v>43</v>
      </c>
    </row>
    <row r="292" spans="1:1" x14ac:dyDescent="0.25">
      <c r="A292">
        <v>44</v>
      </c>
    </row>
    <row r="293" spans="1:1" x14ac:dyDescent="0.25">
      <c r="A293">
        <v>45</v>
      </c>
    </row>
    <row r="294" spans="1:1" x14ac:dyDescent="0.25">
      <c r="A294">
        <v>46</v>
      </c>
    </row>
    <row r="295" spans="1:1" x14ac:dyDescent="0.25">
      <c r="A295">
        <v>47</v>
      </c>
    </row>
    <row r="296" spans="1:1" x14ac:dyDescent="0.25">
      <c r="A296">
        <v>48</v>
      </c>
    </row>
    <row r="297" spans="1:1" x14ac:dyDescent="0.25">
      <c r="A297">
        <v>49</v>
      </c>
    </row>
    <row r="298" spans="1:1" x14ac:dyDescent="0.25">
      <c r="A298">
        <v>50</v>
      </c>
    </row>
    <row r="299" spans="1:1" x14ac:dyDescent="0.25">
      <c r="A299">
        <v>51</v>
      </c>
    </row>
    <row r="300" spans="1:1" x14ac:dyDescent="0.25">
      <c r="A300">
        <v>52</v>
      </c>
    </row>
    <row r="301" spans="1:1" x14ac:dyDescent="0.25">
      <c r="A301">
        <v>53</v>
      </c>
    </row>
    <row r="302" spans="1:1" x14ac:dyDescent="0.25">
      <c r="A302">
        <v>54</v>
      </c>
    </row>
    <row r="303" spans="1:1" x14ac:dyDescent="0.25">
      <c r="A303">
        <v>55</v>
      </c>
    </row>
    <row r="304" spans="1:1" x14ac:dyDescent="0.25">
      <c r="A304">
        <v>56</v>
      </c>
    </row>
    <row r="305" spans="1:1" x14ac:dyDescent="0.25">
      <c r="A305">
        <v>57</v>
      </c>
    </row>
    <row r="306" spans="1:1" x14ac:dyDescent="0.25">
      <c r="A306">
        <v>58</v>
      </c>
    </row>
    <row r="307" spans="1:1" x14ac:dyDescent="0.25">
      <c r="A307">
        <v>59</v>
      </c>
    </row>
    <row r="308" spans="1:1" x14ac:dyDescent="0.25">
      <c r="A308">
        <v>60</v>
      </c>
    </row>
    <row r="309" spans="1:1" x14ac:dyDescent="0.25">
      <c r="A309">
        <v>61</v>
      </c>
    </row>
    <row r="310" spans="1:1" x14ac:dyDescent="0.25">
      <c r="A310">
        <v>62</v>
      </c>
    </row>
    <row r="311" spans="1:1" x14ac:dyDescent="0.25">
      <c r="A311">
        <v>63</v>
      </c>
    </row>
    <row r="312" spans="1:1" x14ac:dyDescent="0.25">
      <c r="A312">
        <v>64</v>
      </c>
    </row>
    <row r="313" spans="1:1" x14ac:dyDescent="0.25">
      <c r="A313">
        <v>65</v>
      </c>
    </row>
    <row r="314" spans="1:1" x14ac:dyDescent="0.25">
      <c r="A314">
        <v>66</v>
      </c>
    </row>
    <row r="315" spans="1:1" x14ac:dyDescent="0.25">
      <c r="A315">
        <v>67</v>
      </c>
    </row>
    <row r="316" spans="1:1" x14ac:dyDescent="0.25">
      <c r="A316">
        <v>68</v>
      </c>
    </row>
    <row r="317" spans="1:1" x14ac:dyDescent="0.25">
      <c r="A317">
        <v>69</v>
      </c>
    </row>
    <row r="318" spans="1:1" x14ac:dyDescent="0.25">
      <c r="A318">
        <v>70</v>
      </c>
    </row>
    <row r="319" spans="1:1" x14ac:dyDescent="0.25">
      <c r="A319">
        <v>71</v>
      </c>
    </row>
    <row r="320" spans="1:1" x14ac:dyDescent="0.25">
      <c r="A320">
        <v>72</v>
      </c>
    </row>
    <row r="321" spans="1:1" x14ac:dyDescent="0.25">
      <c r="A321">
        <v>73</v>
      </c>
    </row>
    <row r="322" spans="1:1" x14ac:dyDescent="0.25">
      <c r="A322">
        <v>74</v>
      </c>
    </row>
    <row r="323" spans="1:1" x14ac:dyDescent="0.25">
      <c r="A323">
        <v>75</v>
      </c>
    </row>
    <row r="324" spans="1:1" x14ac:dyDescent="0.25">
      <c r="A324">
        <v>76</v>
      </c>
    </row>
    <row r="325" spans="1:1" x14ac:dyDescent="0.25">
      <c r="A325">
        <v>77</v>
      </c>
    </row>
    <row r="326" spans="1:1" x14ac:dyDescent="0.25">
      <c r="A326">
        <v>78</v>
      </c>
    </row>
    <row r="327" spans="1:1" x14ac:dyDescent="0.25">
      <c r="A327">
        <v>79</v>
      </c>
    </row>
    <row r="328" spans="1:1" x14ac:dyDescent="0.25">
      <c r="A328">
        <v>80</v>
      </c>
    </row>
    <row r="329" spans="1:1" x14ac:dyDescent="0.25">
      <c r="A329">
        <v>81</v>
      </c>
    </row>
    <row r="330" spans="1:1" x14ac:dyDescent="0.25">
      <c r="A330">
        <v>82</v>
      </c>
    </row>
    <row r="331" spans="1:1" x14ac:dyDescent="0.25">
      <c r="A331">
        <v>83</v>
      </c>
    </row>
    <row r="332" spans="1:1" x14ac:dyDescent="0.25">
      <c r="A332">
        <v>84</v>
      </c>
    </row>
    <row r="333" spans="1:1" x14ac:dyDescent="0.25">
      <c r="A333">
        <v>85</v>
      </c>
    </row>
    <row r="334" spans="1:1" x14ac:dyDescent="0.25">
      <c r="A334">
        <v>86</v>
      </c>
    </row>
    <row r="335" spans="1:1" x14ac:dyDescent="0.25">
      <c r="A335">
        <v>87</v>
      </c>
    </row>
    <row r="336" spans="1:1" x14ac:dyDescent="0.25">
      <c r="A336">
        <v>88</v>
      </c>
    </row>
    <row r="337" spans="1:1" x14ac:dyDescent="0.25">
      <c r="A337">
        <v>89</v>
      </c>
    </row>
    <row r="338" spans="1:1" x14ac:dyDescent="0.25">
      <c r="A338">
        <v>90</v>
      </c>
    </row>
    <row r="339" spans="1:1" x14ac:dyDescent="0.25">
      <c r="A339">
        <v>91</v>
      </c>
    </row>
    <row r="340" spans="1:1" x14ac:dyDescent="0.25">
      <c r="A340">
        <v>92</v>
      </c>
    </row>
    <row r="341" spans="1:1" x14ac:dyDescent="0.25">
      <c r="A341">
        <v>93</v>
      </c>
    </row>
    <row r="342" spans="1:1" x14ac:dyDescent="0.25">
      <c r="A342">
        <v>94</v>
      </c>
    </row>
    <row r="343" spans="1:1" x14ac:dyDescent="0.25">
      <c r="A343">
        <v>95</v>
      </c>
    </row>
    <row r="344" spans="1:1" x14ac:dyDescent="0.25">
      <c r="A344">
        <v>96</v>
      </c>
    </row>
    <row r="345" spans="1:1" x14ac:dyDescent="0.25">
      <c r="A345">
        <v>97</v>
      </c>
    </row>
    <row r="346" spans="1:1" x14ac:dyDescent="0.25">
      <c r="A346">
        <v>98</v>
      </c>
    </row>
    <row r="347" spans="1:1" x14ac:dyDescent="0.25">
      <c r="A347">
        <v>99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1"/>
  <dimension ref="A1:R148"/>
  <sheetViews>
    <sheetView topLeftCell="A37" workbookViewId="0">
      <selection activeCell="J20" sqref="J20"/>
    </sheetView>
  </sheetViews>
  <sheetFormatPr baseColWidth="10" defaultRowHeight="15" x14ac:dyDescent="0.25"/>
  <cols>
    <col min="3" max="3" width="30.85546875" bestFit="1" customWidth="1"/>
  </cols>
  <sheetData>
    <row r="1" spans="1:6" x14ac:dyDescent="0.25">
      <c r="A1" t="s">
        <v>183</v>
      </c>
    </row>
    <row r="2" spans="1:6" x14ac:dyDescent="0.25">
      <c r="A2" t="s">
        <v>1</v>
      </c>
    </row>
    <row r="4" spans="1:6" x14ac:dyDescent="0.25">
      <c r="A4" t="s">
        <v>49</v>
      </c>
    </row>
    <row r="5" spans="1:6" x14ac:dyDescent="0.25">
      <c r="B5" t="s">
        <v>50</v>
      </c>
      <c r="C5" t="s">
        <v>9</v>
      </c>
      <c r="D5" t="s">
        <v>52</v>
      </c>
      <c r="E5" t="s">
        <v>51</v>
      </c>
      <c r="F5" t="s">
        <v>53</v>
      </c>
    </row>
    <row r="6" spans="1:6" x14ac:dyDescent="0.25">
      <c r="B6" t="s">
        <v>322</v>
      </c>
      <c r="C6" t="s">
        <v>204</v>
      </c>
      <c r="D6">
        <v>149.58000000000001</v>
      </c>
      <c r="E6">
        <v>2.7</v>
      </c>
      <c r="F6">
        <v>36777.08</v>
      </c>
    </row>
    <row r="7" spans="1:6" x14ac:dyDescent="0.25">
      <c r="B7" t="s">
        <v>326</v>
      </c>
      <c r="C7" t="s">
        <v>205</v>
      </c>
      <c r="D7">
        <v>26.66</v>
      </c>
      <c r="E7">
        <v>5</v>
      </c>
      <c r="F7">
        <v>11939.22</v>
      </c>
    </row>
    <row r="8" spans="1:6" x14ac:dyDescent="0.25">
      <c r="B8" t="s">
        <v>323</v>
      </c>
      <c r="C8" t="s">
        <v>206</v>
      </c>
      <c r="D8">
        <v>5.13</v>
      </c>
      <c r="E8">
        <v>5</v>
      </c>
      <c r="F8">
        <v>2297.38</v>
      </c>
    </row>
    <row r="9" spans="1:6" x14ac:dyDescent="0.25">
      <c r="B9" t="s">
        <v>327</v>
      </c>
      <c r="C9" t="s">
        <v>207</v>
      </c>
      <c r="D9">
        <v>1.72</v>
      </c>
      <c r="E9">
        <v>3.5</v>
      </c>
      <c r="F9">
        <v>543.72</v>
      </c>
    </row>
    <row r="10" spans="1:6" x14ac:dyDescent="0.25">
      <c r="B10" t="s">
        <v>324</v>
      </c>
      <c r="C10" t="s">
        <v>208</v>
      </c>
      <c r="D10">
        <v>28.09</v>
      </c>
      <c r="E10">
        <v>1.53</v>
      </c>
      <c r="F10">
        <v>4020.55</v>
      </c>
    </row>
    <row r="11" spans="1:6" x14ac:dyDescent="0.25">
      <c r="B11" t="s">
        <v>328</v>
      </c>
      <c r="C11" t="s">
        <v>209</v>
      </c>
      <c r="D11">
        <v>100.24</v>
      </c>
      <c r="E11">
        <v>1.77</v>
      </c>
      <c r="F11">
        <v>16459.95</v>
      </c>
    </row>
    <row r="12" spans="1:6" x14ac:dyDescent="0.25">
      <c r="B12" t="s">
        <v>329</v>
      </c>
      <c r="C12" t="s">
        <v>210</v>
      </c>
      <c r="D12">
        <v>22.89</v>
      </c>
      <c r="E12">
        <v>1.3</v>
      </c>
      <c r="F12">
        <v>2813.97</v>
      </c>
    </row>
    <row r="13" spans="1:6" x14ac:dyDescent="0.25">
      <c r="B13" t="s">
        <v>330</v>
      </c>
      <c r="C13" t="s">
        <v>211</v>
      </c>
      <c r="D13">
        <v>43.64</v>
      </c>
      <c r="E13">
        <v>1.77</v>
      </c>
      <c r="F13">
        <v>7165.92</v>
      </c>
    </row>
    <row r="14" spans="1:6" x14ac:dyDescent="0.25">
      <c r="B14" t="s">
        <v>331</v>
      </c>
      <c r="C14" t="s">
        <v>212</v>
      </c>
      <c r="D14">
        <v>24.68</v>
      </c>
      <c r="E14">
        <v>1.26</v>
      </c>
      <c r="F14">
        <v>2947.34</v>
      </c>
    </row>
    <row r="15" spans="1:6" x14ac:dyDescent="0.25">
      <c r="B15" t="s">
        <v>332</v>
      </c>
      <c r="C15" t="s">
        <v>213</v>
      </c>
      <c r="D15">
        <v>21.5</v>
      </c>
      <c r="E15">
        <v>1.53</v>
      </c>
      <c r="F15">
        <v>3077.31</v>
      </c>
    </row>
    <row r="16" spans="1:6" x14ac:dyDescent="0.25">
      <c r="B16" t="s">
        <v>333</v>
      </c>
      <c r="C16" t="s">
        <v>214</v>
      </c>
      <c r="D16">
        <v>80.97</v>
      </c>
      <c r="E16">
        <v>1.77</v>
      </c>
      <c r="F16">
        <v>13295.71</v>
      </c>
    </row>
    <row r="17" spans="2:6" x14ac:dyDescent="0.25">
      <c r="B17" t="s">
        <v>334</v>
      </c>
      <c r="C17" t="s">
        <v>215</v>
      </c>
      <c r="D17">
        <v>21.5</v>
      </c>
      <c r="E17">
        <v>1.3</v>
      </c>
      <c r="F17">
        <v>2643.09</v>
      </c>
    </row>
    <row r="18" spans="2:6" x14ac:dyDescent="0.25">
      <c r="B18" t="s">
        <v>335</v>
      </c>
      <c r="C18" t="s">
        <v>216</v>
      </c>
      <c r="D18">
        <v>15</v>
      </c>
      <c r="E18">
        <v>1.77</v>
      </c>
      <c r="F18">
        <v>2463.08</v>
      </c>
    </row>
    <row r="19" spans="2:6" x14ac:dyDescent="0.25">
      <c r="B19" t="s">
        <v>217</v>
      </c>
      <c r="C19" t="s">
        <v>218</v>
      </c>
      <c r="D19">
        <v>3.93</v>
      </c>
      <c r="E19">
        <v>1.33</v>
      </c>
      <c r="F19">
        <v>271.42</v>
      </c>
    </row>
    <row r="38" spans="1:18" x14ac:dyDescent="0.25">
      <c r="A38" t="s">
        <v>111</v>
      </c>
    </row>
    <row r="39" spans="1:18" x14ac:dyDescent="0.25">
      <c r="F39" t="s">
        <v>60</v>
      </c>
      <c r="G39" t="s">
        <v>61</v>
      </c>
      <c r="H39" t="s">
        <v>62</v>
      </c>
      <c r="I39" t="s">
        <v>63</v>
      </c>
      <c r="J39" t="s">
        <v>64</v>
      </c>
      <c r="K39" t="s">
        <v>65</v>
      </c>
      <c r="L39" t="s">
        <v>66</v>
      </c>
      <c r="M39" t="s">
        <v>67</v>
      </c>
      <c r="N39" t="s">
        <v>68</v>
      </c>
      <c r="O39" t="s">
        <v>69</v>
      </c>
      <c r="P39" t="s">
        <v>70</v>
      </c>
      <c r="Q39" t="s">
        <v>71</v>
      </c>
      <c r="R39" t="s">
        <v>72</v>
      </c>
    </row>
    <row r="40" spans="1:18" x14ac:dyDescent="0.25">
      <c r="B40" t="s">
        <v>112</v>
      </c>
      <c r="F40">
        <v>188430.11300000001</v>
      </c>
      <c r="G40">
        <v>28278.09</v>
      </c>
      <c r="H40">
        <v>24435.881000000001</v>
      </c>
      <c r="I40">
        <v>23177.405999999999</v>
      </c>
      <c r="J40">
        <v>16308.196</v>
      </c>
      <c r="K40">
        <v>9522.4449999999997</v>
      </c>
      <c r="L40">
        <v>5245.1689999999999</v>
      </c>
      <c r="M40">
        <v>1667.595</v>
      </c>
      <c r="N40">
        <v>2328.5050000000001</v>
      </c>
      <c r="O40">
        <v>8930.8449999999993</v>
      </c>
      <c r="P40">
        <v>16532.09</v>
      </c>
      <c r="Q40">
        <v>23484.57</v>
      </c>
      <c r="R40">
        <v>28519.32</v>
      </c>
    </row>
    <row r="41" spans="1:18" x14ac:dyDescent="0.25">
      <c r="B41" t="s">
        <v>113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</row>
    <row r="42" spans="1:18" x14ac:dyDescent="0.25">
      <c r="C42" t="s">
        <v>86</v>
      </c>
      <c r="F42">
        <v>14</v>
      </c>
      <c r="G42">
        <v>21938.434000000001</v>
      </c>
      <c r="H42">
        <v>18876.734</v>
      </c>
      <c r="I42">
        <v>17666.213</v>
      </c>
      <c r="J42">
        <v>12068.001</v>
      </c>
      <c r="K42">
        <v>6812.4610000000002</v>
      </c>
      <c r="L42">
        <v>3687.4459999999999</v>
      </c>
      <c r="M42">
        <v>1154.654</v>
      </c>
      <c r="N42">
        <v>1616.5160000000001</v>
      </c>
      <c r="O42">
        <v>6369.2209999999995</v>
      </c>
      <c r="P42">
        <v>12123.871999999999</v>
      </c>
      <c r="Q42">
        <v>17766.778999999999</v>
      </c>
      <c r="R42">
        <v>22053.898000000001</v>
      </c>
    </row>
    <row r="43" spans="1:18" x14ac:dyDescent="0.25">
      <c r="D43" t="s">
        <v>73</v>
      </c>
      <c r="F43">
        <v>122704.609</v>
      </c>
      <c r="G43">
        <v>18939.469000000001</v>
      </c>
      <c r="H43">
        <v>16296.303</v>
      </c>
      <c r="I43">
        <v>15251.258</v>
      </c>
      <c r="J43">
        <v>10418.316000000001</v>
      </c>
      <c r="K43">
        <v>5881.2039999999997</v>
      </c>
      <c r="L43">
        <v>3183.375</v>
      </c>
      <c r="M43">
        <v>996.81399999999996</v>
      </c>
      <c r="N43">
        <v>1395.54</v>
      </c>
      <c r="O43">
        <v>5498.5540000000001</v>
      </c>
      <c r="P43">
        <v>10466.549999999999</v>
      </c>
      <c r="Q43">
        <v>15338.075999999999</v>
      </c>
      <c r="R43">
        <v>19039.150000000001</v>
      </c>
    </row>
    <row r="44" spans="1:18" x14ac:dyDescent="0.25">
      <c r="D44" t="s">
        <v>74</v>
      </c>
      <c r="F44">
        <v>1120.837</v>
      </c>
      <c r="G44">
        <v>173.001</v>
      </c>
      <c r="H44">
        <v>148.858</v>
      </c>
      <c r="I44">
        <v>139.31200000000001</v>
      </c>
      <c r="J44">
        <v>95.165000000000006</v>
      </c>
      <c r="K44">
        <v>53.720999999999997</v>
      </c>
      <c r="L44">
        <v>29.077999999999999</v>
      </c>
      <c r="M44">
        <v>9.1050000000000004</v>
      </c>
      <c r="N44">
        <v>12.747</v>
      </c>
      <c r="O44">
        <v>50.225999999999999</v>
      </c>
      <c r="P44">
        <v>95.605999999999995</v>
      </c>
      <c r="Q44">
        <v>140.10499999999999</v>
      </c>
      <c r="R44">
        <v>173.91200000000001</v>
      </c>
    </row>
    <row r="45" spans="1:18" x14ac:dyDescent="0.25">
      <c r="D45" t="s">
        <v>75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</row>
    <row r="46" spans="1:18" x14ac:dyDescent="0.25">
      <c r="D46" t="s">
        <v>76</v>
      </c>
      <c r="F46">
        <v>18308.781999999999</v>
      </c>
      <c r="G46">
        <v>2825.9630000000002</v>
      </c>
      <c r="H46">
        <v>2431.5749999999998</v>
      </c>
      <c r="I46">
        <v>2275.643</v>
      </c>
      <c r="J46">
        <v>1554.519</v>
      </c>
      <c r="K46">
        <v>877.53599999999994</v>
      </c>
      <c r="L46">
        <v>474.99200000000002</v>
      </c>
      <c r="M46">
        <v>148.73500000000001</v>
      </c>
      <c r="N46">
        <v>208.22900000000001</v>
      </c>
      <c r="O46">
        <v>820.44100000000003</v>
      </c>
      <c r="P46">
        <v>1561.7159999999999</v>
      </c>
      <c r="Q46">
        <v>2288.598</v>
      </c>
      <c r="R46">
        <v>2840.8359999999998</v>
      </c>
    </row>
    <row r="47" spans="1:18" x14ac:dyDescent="0.25">
      <c r="C47" t="s">
        <v>87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</row>
    <row r="48" spans="1:18" x14ac:dyDescent="0.25">
      <c r="D48" t="s">
        <v>73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</row>
    <row r="49" spans="3:18" x14ac:dyDescent="0.25">
      <c r="D49" t="s">
        <v>74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</row>
    <row r="50" spans="3:18" x14ac:dyDescent="0.25">
      <c r="D50" t="s">
        <v>75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</row>
    <row r="51" spans="3:18" x14ac:dyDescent="0.25">
      <c r="D51" t="s">
        <v>76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</row>
    <row r="52" spans="3:18" x14ac:dyDescent="0.25">
      <c r="C52" t="s">
        <v>88</v>
      </c>
      <c r="F52">
        <v>44754.17</v>
      </c>
      <c r="G52">
        <v>6003.3069999999998</v>
      </c>
      <c r="H52">
        <v>5326.5069999999996</v>
      </c>
      <c r="I52">
        <v>5453.7359999999999</v>
      </c>
      <c r="J52">
        <v>4240.1949999999997</v>
      </c>
      <c r="K52">
        <v>2709.9839999999999</v>
      </c>
      <c r="L52">
        <v>1557.723</v>
      </c>
      <c r="M52">
        <v>512.94100000000003</v>
      </c>
      <c r="N52">
        <v>711.98900000000003</v>
      </c>
      <c r="O52">
        <v>2545.7370000000001</v>
      </c>
      <c r="P52">
        <v>4294.2969999999996</v>
      </c>
      <c r="Q52">
        <v>5383.7510000000002</v>
      </c>
      <c r="R52">
        <v>6014.0020000000004</v>
      </c>
    </row>
    <row r="53" spans="3:18" x14ac:dyDescent="0.25">
      <c r="D53" t="s">
        <v>77</v>
      </c>
      <c r="F53">
        <v>10605.575999999999</v>
      </c>
      <c r="G53">
        <v>1636.972</v>
      </c>
      <c r="H53">
        <v>1408.518</v>
      </c>
      <c r="I53">
        <v>1318.193</v>
      </c>
      <c r="J53">
        <v>900.47299999999996</v>
      </c>
      <c r="K53">
        <v>508.32299999999998</v>
      </c>
      <c r="L53">
        <v>275.14499999999998</v>
      </c>
      <c r="M53">
        <v>86.156000000000006</v>
      </c>
      <c r="N53">
        <v>120.619</v>
      </c>
      <c r="O53">
        <v>475.25</v>
      </c>
      <c r="P53">
        <v>904.64200000000005</v>
      </c>
      <c r="Q53">
        <v>1325.6969999999999</v>
      </c>
      <c r="R53">
        <v>1645.587</v>
      </c>
    </row>
    <row r="54" spans="3:18" x14ac:dyDescent="0.25">
      <c r="D54" t="s">
        <v>78</v>
      </c>
      <c r="F54">
        <v>34148.595000000001</v>
      </c>
      <c r="G54">
        <v>4366.335</v>
      </c>
      <c r="H54">
        <v>3917.989</v>
      </c>
      <c r="I54">
        <v>4135.5429999999997</v>
      </c>
      <c r="J54">
        <v>3339.7220000000002</v>
      </c>
      <c r="K54">
        <v>2201.6619999999998</v>
      </c>
      <c r="L54">
        <v>1282.578</v>
      </c>
      <c r="M54">
        <v>426.78500000000003</v>
      </c>
      <c r="N54">
        <v>591.37</v>
      </c>
      <c r="O54">
        <v>2070.4879999999998</v>
      </c>
      <c r="P54">
        <v>3389.6550000000002</v>
      </c>
      <c r="Q54">
        <v>4058.0540000000001</v>
      </c>
      <c r="R54">
        <v>4368.415</v>
      </c>
    </row>
    <row r="55" spans="3:18" x14ac:dyDescent="0.25">
      <c r="D55" t="s">
        <v>79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</row>
    <row r="56" spans="3:18" x14ac:dyDescent="0.25">
      <c r="D56" t="s">
        <v>80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</row>
    <row r="57" spans="3:18" x14ac:dyDescent="0.25">
      <c r="C57" t="s">
        <v>89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</row>
    <row r="58" spans="3:18" x14ac:dyDescent="0.25">
      <c r="D58" t="s">
        <v>77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</row>
    <row r="59" spans="3:18" x14ac:dyDescent="0.25">
      <c r="D59" t="s">
        <v>78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</row>
    <row r="60" spans="3:18" x14ac:dyDescent="0.25">
      <c r="D60" t="s">
        <v>79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</row>
    <row r="61" spans="3:18" x14ac:dyDescent="0.25">
      <c r="D61" t="s">
        <v>80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</row>
    <row r="62" spans="3:18" x14ac:dyDescent="0.25">
      <c r="C62" t="s">
        <v>81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</row>
    <row r="63" spans="3:18" x14ac:dyDescent="0.25">
      <c r="D63" t="s">
        <v>82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</row>
    <row r="64" spans="3:18" x14ac:dyDescent="0.25">
      <c r="D64" t="s">
        <v>83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2:18" x14ac:dyDescent="0.25">
      <c r="D65" t="s">
        <v>93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</row>
    <row r="66" spans="2:18" x14ac:dyDescent="0.25">
      <c r="C66" t="s">
        <v>84</v>
      </c>
      <c r="F66">
        <v>1541.712</v>
      </c>
      <c r="G66">
        <v>336.34899999999999</v>
      </c>
      <c r="H66">
        <v>232.63900000000001</v>
      </c>
      <c r="I66">
        <v>57.457000000000001</v>
      </c>
      <c r="J66">
        <v>0</v>
      </c>
      <c r="K66">
        <v>0</v>
      </c>
      <c r="L66">
        <v>0</v>
      </c>
      <c r="M66">
        <v>0</v>
      </c>
      <c r="N66">
        <v>0</v>
      </c>
      <c r="O66">
        <v>15.887</v>
      </c>
      <c r="P66">
        <v>113.92100000000001</v>
      </c>
      <c r="Q66">
        <v>334.03899999999999</v>
      </c>
      <c r="R66">
        <v>451.42</v>
      </c>
    </row>
    <row r="67" spans="2:18" x14ac:dyDescent="0.25">
      <c r="D67" t="s">
        <v>85</v>
      </c>
      <c r="F67">
        <v>1541.712</v>
      </c>
      <c r="G67">
        <v>336.34899999999999</v>
      </c>
      <c r="H67">
        <v>232.63900000000001</v>
      </c>
      <c r="I67">
        <v>57.457000000000001</v>
      </c>
      <c r="J67">
        <v>0</v>
      </c>
      <c r="K67">
        <v>0</v>
      </c>
      <c r="L67">
        <v>0</v>
      </c>
      <c r="M67">
        <v>0</v>
      </c>
      <c r="N67">
        <v>0</v>
      </c>
      <c r="O67">
        <v>15.887</v>
      </c>
      <c r="P67">
        <v>113.92100000000001</v>
      </c>
      <c r="Q67">
        <v>334.03899999999999</v>
      </c>
      <c r="R67">
        <v>451.42</v>
      </c>
    </row>
    <row r="68" spans="2:18" x14ac:dyDescent="0.25">
      <c r="B68" t="s">
        <v>114</v>
      </c>
      <c r="F68">
        <v>115048.59299999999</v>
      </c>
      <c r="G68">
        <v>10304.4</v>
      </c>
      <c r="H68">
        <v>8947.1530000000002</v>
      </c>
      <c r="I68">
        <v>10696.82</v>
      </c>
      <c r="J68">
        <v>11151.297</v>
      </c>
      <c r="K68">
        <v>10183.828</v>
      </c>
      <c r="L68">
        <v>9397.018</v>
      </c>
      <c r="M68">
        <v>9170.1290000000008</v>
      </c>
      <c r="N68">
        <v>8827.7659999999996</v>
      </c>
      <c r="O68">
        <v>8577.0529999999999</v>
      </c>
      <c r="P68">
        <v>9440.0310000000009</v>
      </c>
      <c r="Q68">
        <v>8767.9840000000004</v>
      </c>
      <c r="R68">
        <v>9585.1129999999994</v>
      </c>
    </row>
    <row r="69" spans="2:18" x14ac:dyDescent="0.25">
      <c r="B69" t="s">
        <v>115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</row>
    <row r="70" spans="2:18" x14ac:dyDescent="0.25">
      <c r="C70" t="s">
        <v>86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</row>
    <row r="71" spans="2:18" x14ac:dyDescent="0.25">
      <c r="D71" t="s">
        <v>73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</row>
    <row r="72" spans="2:18" x14ac:dyDescent="0.25">
      <c r="D72" t="s">
        <v>74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</row>
    <row r="73" spans="2:18" x14ac:dyDescent="0.25">
      <c r="D73" t="s">
        <v>75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</row>
    <row r="74" spans="2:18" x14ac:dyDescent="0.25">
      <c r="D74" t="s">
        <v>76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</row>
    <row r="75" spans="2:18" x14ac:dyDescent="0.25">
      <c r="C75" t="s">
        <v>87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</row>
    <row r="76" spans="2:18" x14ac:dyDescent="0.25">
      <c r="D76" t="s">
        <v>73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</row>
    <row r="77" spans="2:18" x14ac:dyDescent="0.25">
      <c r="D77" t="s">
        <v>74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</row>
    <row r="78" spans="2:18" x14ac:dyDescent="0.25">
      <c r="D78" t="s">
        <v>75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</row>
    <row r="79" spans="2:18" x14ac:dyDescent="0.25">
      <c r="D79" t="s">
        <v>76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</row>
    <row r="80" spans="2:18" x14ac:dyDescent="0.25">
      <c r="C80" t="s">
        <v>88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</row>
    <row r="81" spans="3:18" x14ac:dyDescent="0.25">
      <c r="D81" t="s">
        <v>77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</row>
    <row r="82" spans="3:18" x14ac:dyDescent="0.25">
      <c r="D82" t="s">
        <v>78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</row>
    <row r="83" spans="3:18" x14ac:dyDescent="0.25">
      <c r="D83" t="s">
        <v>79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</row>
    <row r="84" spans="3:18" x14ac:dyDescent="0.25">
      <c r="D84" t="s">
        <v>80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</row>
    <row r="85" spans="3:18" x14ac:dyDescent="0.25">
      <c r="C85" t="s">
        <v>89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</row>
    <row r="86" spans="3:18" x14ac:dyDescent="0.25">
      <c r="D86" t="s">
        <v>77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</row>
    <row r="87" spans="3:18" x14ac:dyDescent="0.25">
      <c r="D87" t="s">
        <v>78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</row>
    <row r="88" spans="3:18" x14ac:dyDescent="0.25">
      <c r="D88" t="s">
        <v>79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</row>
    <row r="89" spans="3:18" x14ac:dyDescent="0.25">
      <c r="D89" t="s">
        <v>80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</row>
    <row r="90" spans="3:18" x14ac:dyDescent="0.25">
      <c r="C90" t="s">
        <v>90</v>
      </c>
      <c r="F90">
        <v>68433.226999999999</v>
      </c>
      <c r="G90">
        <v>8439.8469999999998</v>
      </c>
      <c r="H90">
        <v>7424.2709999999997</v>
      </c>
      <c r="I90">
        <v>7114.5360000000001</v>
      </c>
      <c r="J90">
        <v>5258.2780000000002</v>
      </c>
      <c r="K90">
        <v>4003.7089999999998</v>
      </c>
      <c r="L90">
        <v>3366.607</v>
      </c>
      <c r="M90">
        <v>3429.1610000000001</v>
      </c>
      <c r="N90">
        <v>3429.1610000000001</v>
      </c>
      <c r="O90">
        <v>4061.2649999999999</v>
      </c>
      <c r="P90">
        <v>5801.5039999999999</v>
      </c>
      <c r="Q90">
        <v>7462.53</v>
      </c>
      <c r="R90">
        <v>8642.3559999999998</v>
      </c>
    </row>
    <row r="91" spans="3:18" x14ac:dyDescent="0.25">
      <c r="D91" t="s">
        <v>91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</row>
    <row r="92" spans="3:18" x14ac:dyDescent="0.25">
      <c r="D92" t="s">
        <v>153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</row>
    <row r="93" spans="3:18" x14ac:dyDescent="0.25">
      <c r="D93" t="s">
        <v>83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</row>
    <row r="94" spans="3:18" x14ac:dyDescent="0.25">
      <c r="D94" t="s">
        <v>92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</row>
    <row r="95" spans="3:18" x14ac:dyDescent="0.25">
      <c r="D95" t="s">
        <v>93</v>
      </c>
      <c r="F95">
        <v>28057.62</v>
      </c>
      <c r="G95">
        <v>5010.6859999999997</v>
      </c>
      <c r="H95">
        <v>4326.9639999999999</v>
      </c>
      <c r="I95">
        <v>3685.375</v>
      </c>
      <c r="J95">
        <v>1939.7349999999999</v>
      </c>
      <c r="K95">
        <v>574.548</v>
      </c>
      <c r="L95">
        <v>48.064</v>
      </c>
      <c r="M95">
        <v>0</v>
      </c>
      <c r="N95">
        <v>0</v>
      </c>
      <c r="O95">
        <v>742.72199999999998</v>
      </c>
      <c r="P95">
        <v>2372.3440000000001</v>
      </c>
      <c r="Q95">
        <v>4143.9870000000001</v>
      </c>
      <c r="R95">
        <v>5213.1949999999997</v>
      </c>
    </row>
    <row r="96" spans="3:18" x14ac:dyDescent="0.25">
      <c r="C96" t="s">
        <v>94</v>
      </c>
      <c r="F96">
        <v>46602.266000000003</v>
      </c>
      <c r="G96">
        <v>1862.395</v>
      </c>
      <c r="H96">
        <v>1520.9960000000001</v>
      </c>
      <c r="I96">
        <v>3580.46</v>
      </c>
      <c r="J96">
        <v>5892.14</v>
      </c>
      <c r="K96">
        <v>6180.0010000000002</v>
      </c>
      <c r="L96">
        <v>6030.41</v>
      </c>
      <c r="M96">
        <v>5740.9679999999998</v>
      </c>
      <c r="N96">
        <v>5398.6040000000003</v>
      </c>
      <c r="O96">
        <v>4515.09</v>
      </c>
      <c r="P96">
        <v>3637.0410000000002</v>
      </c>
      <c r="Q96">
        <v>1303.569</v>
      </c>
      <c r="R96">
        <v>940.59100000000001</v>
      </c>
    </row>
    <row r="97" spans="2:18" x14ac:dyDescent="0.25">
      <c r="D97" t="s">
        <v>95</v>
      </c>
      <c r="F97">
        <v>41624.260999999999</v>
      </c>
      <c r="G97">
        <v>1818.61</v>
      </c>
      <c r="H97">
        <v>1515.347</v>
      </c>
      <c r="I97">
        <v>3354.5529999999999</v>
      </c>
      <c r="J97">
        <v>5131.9120000000003</v>
      </c>
      <c r="K97">
        <v>5283.2269999999999</v>
      </c>
      <c r="L97">
        <v>5083.8770000000004</v>
      </c>
      <c r="M97">
        <v>4908.2719999999999</v>
      </c>
      <c r="N97">
        <v>4735.9179999999997</v>
      </c>
      <c r="O97">
        <v>4119.0330000000004</v>
      </c>
      <c r="P97">
        <v>3429.3519999999999</v>
      </c>
      <c r="Q97">
        <v>1303.569</v>
      </c>
      <c r="R97">
        <v>940.59100000000001</v>
      </c>
    </row>
    <row r="98" spans="2:18" x14ac:dyDescent="0.25">
      <c r="D98" t="s">
        <v>96</v>
      </c>
      <c r="F98">
        <v>4978.0050000000001</v>
      </c>
      <c r="G98">
        <v>43.784999999999997</v>
      </c>
      <c r="H98">
        <v>5.65</v>
      </c>
      <c r="I98">
        <v>225.90700000000001</v>
      </c>
      <c r="J98">
        <v>760.22900000000004</v>
      </c>
      <c r="K98">
        <v>896.774</v>
      </c>
      <c r="L98">
        <v>946.53300000000002</v>
      </c>
      <c r="M98">
        <v>832.69500000000005</v>
      </c>
      <c r="N98">
        <v>662.68700000000001</v>
      </c>
      <c r="O98">
        <v>396.05799999999999</v>
      </c>
      <c r="P98">
        <v>207.68899999999999</v>
      </c>
      <c r="Q98">
        <v>0</v>
      </c>
      <c r="R98">
        <v>0</v>
      </c>
    </row>
    <row r="99" spans="2:18" x14ac:dyDescent="0.25">
      <c r="B99" t="s">
        <v>97</v>
      </c>
    </row>
    <row r="100" spans="2:18" x14ac:dyDescent="0.25">
      <c r="C100" t="s">
        <v>98</v>
      </c>
      <c r="F100">
        <v>95330.8</v>
      </c>
      <c r="G100">
        <v>17994.386999999999</v>
      </c>
      <c r="H100">
        <v>15507.147000000001</v>
      </c>
      <c r="I100">
        <v>12550.958000000001</v>
      </c>
      <c r="J100">
        <v>5594.48</v>
      </c>
      <c r="K100">
        <v>1163.223</v>
      </c>
      <c r="L100">
        <v>84.992999999999995</v>
      </c>
      <c r="M100">
        <v>0</v>
      </c>
      <c r="N100">
        <v>0</v>
      </c>
      <c r="O100">
        <v>1490.4760000000001</v>
      </c>
      <c r="P100">
        <v>7261.723</v>
      </c>
      <c r="Q100">
        <v>14736.531999999999</v>
      </c>
      <c r="R100">
        <v>18946.881000000001</v>
      </c>
    </row>
    <row r="101" spans="2:18" x14ac:dyDescent="0.25">
      <c r="C101" t="s">
        <v>99</v>
      </c>
      <c r="F101">
        <v>10969.628000000001</v>
      </c>
      <c r="G101">
        <v>1863.3340000000001</v>
      </c>
      <c r="H101">
        <v>1683.011</v>
      </c>
      <c r="I101">
        <v>1863.3340000000001</v>
      </c>
      <c r="J101">
        <v>1803.2270000000001</v>
      </c>
      <c r="K101">
        <v>1863.3340000000001</v>
      </c>
      <c r="L101">
        <v>1803.2270000000001</v>
      </c>
      <c r="M101">
        <v>1863.3340000000001</v>
      </c>
      <c r="N101">
        <v>1863.3340000000001</v>
      </c>
      <c r="O101">
        <v>1803.2270000000001</v>
      </c>
      <c r="P101">
        <v>1863.3340000000001</v>
      </c>
      <c r="Q101">
        <v>1803.2270000000001</v>
      </c>
      <c r="R101">
        <v>1863.3340000000001</v>
      </c>
    </row>
    <row r="102" spans="2:18" x14ac:dyDescent="0.25">
      <c r="C102" t="s">
        <v>100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</row>
    <row r="103" spans="2:18" x14ac:dyDescent="0.25">
      <c r="C103" t="s">
        <v>101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</row>
    <row r="104" spans="2:18" x14ac:dyDescent="0.25">
      <c r="C104" t="s">
        <v>92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</row>
    <row r="105" spans="2:18" x14ac:dyDescent="0.25">
      <c r="B105" t="s">
        <v>102</v>
      </c>
    </row>
    <row r="106" spans="2:18" x14ac:dyDescent="0.25">
      <c r="C106" t="s">
        <v>98</v>
      </c>
      <c r="F106">
        <v>151345.81700000001</v>
      </c>
      <c r="G106">
        <v>27319.405999999999</v>
      </c>
      <c r="H106">
        <v>23710.471000000001</v>
      </c>
      <c r="I106">
        <v>19907.373</v>
      </c>
      <c r="J106">
        <v>9845.3320000000003</v>
      </c>
      <c r="K106">
        <v>2618.9560000000001</v>
      </c>
      <c r="L106">
        <v>222.298</v>
      </c>
      <c r="M106">
        <v>0</v>
      </c>
      <c r="N106">
        <v>0</v>
      </c>
      <c r="O106">
        <v>3396.482</v>
      </c>
      <c r="P106">
        <v>12653.674999999999</v>
      </c>
      <c r="Q106">
        <v>23003.879000000001</v>
      </c>
      <c r="R106">
        <v>28667.945</v>
      </c>
    </row>
    <row r="107" spans="2:18" x14ac:dyDescent="0.25">
      <c r="D107" t="s">
        <v>116</v>
      </c>
      <c r="F107">
        <v>23406.240000000002</v>
      </c>
      <c r="G107">
        <v>3555.9839999999999</v>
      </c>
      <c r="H107">
        <v>3216.8420000000001</v>
      </c>
      <c r="I107">
        <v>3080.0790000000002</v>
      </c>
      <c r="J107">
        <v>1944.9680000000001</v>
      </c>
      <c r="K107">
        <v>740.26499999999999</v>
      </c>
      <c r="L107">
        <v>84.992999999999995</v>
      </c>
      <c r="M107">
        <v>0</v>
      </c>
      <c r="N107">
        <v>0</v>
      </c>
      <c r="O107">
        <v>981.80799999999999</v>
      </c>
      <c r="P107">
        <v>2596.7289999999998</v>
      </c>
      <c r="Q107">
        <v>3479.9630000000002</v>
      </c>
      <c r="R107">
        <v>3724.6089999999999</v>
      </c>
    </row>
    <row r="108" spans="2:18" x14ac:dyDescent="0.25">
      <c r="D108" t="s">
        <v>117</v>
      </c>
      <c r="F108">
        <v>32608.775000000001</v>
      </c>
      <c r="G108">
        <v>5769.0349999999999</v>
      </c>
      <c r="H108">
        <v>4986.482</v>
      </c>
      <c r="I108">
        <v>4276.335</v>
      </c>
      <c r="J108">
        <v>2305.884</v>
      </c>
      <c r="K108">
        <v>715.46900000000005</v>
      </c>
      <c r="L108">
        <v>52.313000000000002</v>
      </c>
      <c r="M108">
        <v>0</v>
      </c>
      <c r="N108">
        <v>0</v>
      </c>
      <c r="O108">
        <v>924.19799999999998</v>
      </c>
      <c r="P108">
        <v>2795.2220000000002</v>
      </c>
      <c r="Q108">
        <v>4787.3829999999998</v>
      </c>
      <c r="R108">
        <v>5996.4539999999997</v>
      </c>
    </row>
    <row r="109" spans="2:18" x14ac:dyDescent="0.25">
      <c r="D109" t="s">
        <v>118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</row>
    <row r="110" spans="2:18" x14ac:dyDescent="0.25">
      <c r="C110" t="s">
        <v>99</v>
      </c>
      <c r="F110">
        <v>10969.628000000001</v>
      </c>
      <c r="G110">
        <v>1863.3340000000001</v>
      </c>
      <c r="H110">
        <v>1683.011</v>
      </c>
      <c r="I110">
        <v>1863.3340000000001</v>
      </c>
      <c r="J110">
        <v>1803.2270000000001</v>
      </c>
      <c r="K110">
        <v>1863.3340000000001</v>
      </c>
      <c r="L110">
        <v>1803.2270000000001</v>
      </c>
      <c r="M110">
        <v>1863.3340000000001</v>
      </c>
      <c r="N110">
        <v>1863.3340000000001</v>
      </c>
      <c r="O110">
        <v>1803.2270000000001</v>
      </c>
      <c r="P110">
        <v>1863.3340000000001</v>
      </c>
      <c r="Q110">
        <v>1803.2270000000001</v>
      </c>
      <c r="R110">
        <v>1863.3340000000001</v>
      </c>
    </row>
    <row r="111" spans="2:18" x14ac:dyDescent="0.25">
      <c r="D111" t="s">
        <v>117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</row>
    <row r="112" spans="2:18" x14ac:dyDescent="0.25">
      <c r="D112" t="s">
        <v>118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</row>
    <row r="113" spans="2:18" x14ac:dyDescent="0.25">
      <c r="C113" t="s">
        <v>100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</row>
    <row r="114" spans="2:18" x14ac:dyDescent="0.25">
      <c r="D114" t="s">
        <v>116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</row>
    <row r="115" spans="2:18" x14ac:dyDescent="0.25">
      <c r="D115" t="s">
        <v>117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</row>
    <row r="116" spans="2:18" x14ac:dyDescent="0.25">
      <c r="D116" t="s">
        <v>118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</row>
    <row r="117" spans="2:18" x14ac:dyDescent="0.25">
      <c r="C117" t="s">
        <v>101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</row>
    <row r="118" spans="2:18" x14ac:dyDescent="0.25">
      <c r="B118" t="s">
        <v>106</v>
      </c>
    </row>
    <row r="119" spans="2:18" x14ac:dyDescent="0.25">
      <c r="C119" t="s">
        <v>98</v>
      </c>
      <c r="F119">
        <v>151345.81700000001</v>
      </c>
      <c r="G119">
        <v>27319.405999999999</v>
      </c>
      <c r="H119">
        <v>23710.471000000001</v>
      </c>
      <c r="I119">
        <v>19907.373</v>
      </c>
      <c r="J119">
        <v>9845.3320000000003</v>
      </c>
      <c r="K119">
        <v>2618.9560000000001</v>
      </c>
      <c r="L119">
        <v>222.298</v>
      </c>
      <c r="M119">
        <v>0</v>
      </c>
      <c r="N119">
        <v>0</v>
      </c>
      <c r="O119">
        <v>3396.482</v>
      </c>
      <c r="P119">
        <v>12653.674999999999</v>
      </c>
      <c r="Q119">
        <v>23003.879000000001</v>
      </c>
      <c r="R119">
        <v>28667.945</v>
      </c>
    </row>
    <row r="120" spans="2:18" x14ac:dyDescent="0.25">
      <c r="D120" t="s">
        <v>107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</row>
    <row r="121" spans="2:18" x14ac:dyDescent="0.25">
      <c r="C121" t="s">
        <v>99</v>
      </c>
      <c r="F121">
        <v>11079.324000000001</v>
      </c>
      <c r="G121">
        <v>1881.9670000000001</v>
      </c>
      <c r="H121">
        <v>1699.8420000000001</v>
      </c>
      <c r="I121">
        <v>1881.9670000000001</v>
      </c>
      <c r="J121">
        <v>1821.259</v>
      </c>
      <c r="K121">
        <v>1881.9670000000001</v>
      </c>
      <c r="L121">
        <v>1821.259</v>
      </c>
      <c r="M121">
        <v>1881.9670000000001</v>
      </c>
      <c r="N121">
        <v>1881.9670000000001</v>
      </c>
      <c r="O121">
        <v>1821.259</v>
      </c>
      <c r="P121">
        <v>1881.9670000000001</v>
      </c>
      <c r="Q121">
        <v>1821.259</v>
      </c>
      <c r="R121">
        <v>1881.9670000000001</v>
      </c>
    </row>
    <row r="122" spans="2:18" x14ac:dyDescent="0.25">
      <c r="D122" t="s">
        <v>107</v>
      </c>
      <c r="F122">
        <v>109.696</v>
      </c>
      <c r="G122">
        <v>18.632999999999999</v>
      </c>
      <c r="H122">
        <v>16.829999999999998</v>
      </c>
      <c r="I122">
        <v>18.632999999999999</v>
      </c>
      <c r="J122">
        <v>18.032</v>
      </c>
      <c r="K122">
        <v>18.632999999999999</v>
      </c>
      <c r="L122">
        <v>18.032</v>
      </c>
      <c r="M122">
        <v>18.632999999999999</v>
      </c>
      <c r="N122">
        <v>18.632999999999999</v>
      </c>
      <c r="O122">
        <v>18.032</v>
      </c>
      <c r="P122">
        <v>18.632999999999999</v>
      </c>
      <c r="Q122">
        <v>18.032</v>
      </c>
      <c r="R122">
        <v>18.632999999999999</v>
      </c>
    </row>
    <row r="123" spans="2:18" x14ac:dyDescent="0.25">
      <c r="C123" t="s">
        <v>100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</row>
    <row r="124" spans="2:18" x14ac:dyDescent="0.25">
      <c r="D124" t="s">
        <v>107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</row>
    <row r="125" spans="2:18" x14ac:dyDescent="0.25">
      <c r="C125" t="s">
        <v>101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</row>
    <row r="126" spans="2:18" x14ac:dyDescent="0.25">
      <c r="C126" t="s">
        <v>92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</row>
    <row r="127" spans="2:18" x14ac:dyDescent="0.25">
      <c r="B127" t="s">
        <v>108</v>
      </c>
    </row>
    <row r="128" spans="2:18" x14ac:dyDescent="0.25">
      <c r="C128" t="s">
        <v>98</v>
      </c>
    </row>
    <row r="129" spans="2:18" x14ac:dyDescent="0.25">
      <c r="D129" t="s">
        <v>103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</row>
    <row r="130" spans="2:18" x14ac:dyDescent="0.25">
      <c r="D130" t="s">
        <v>104</v>
      </c>
      <c r="F130">
        <v>1442.433</v>
      </c>
      <c r="G130">
        <v>187.453</v>
      </c>
      <c r="H130">
        <v>168.37200000000001</v>
      </c>
      <c r="I130">
        <v>179.93600000000001</v>
      </c>
      <c r="J130">
        <v>164.49600000000001</v>
      </c>
      <c r="K130">
        <v>86.034000000000006</v>
      </c>
      <c r="L130">
        <v>6.3250000000000002</v>
      </c>
      <c r="M130">
        <v>0</v>
      </c>
      <c r="N130">
        <v>0</v>
      </c>
      <c r="O130">
        <v>110.28100000000001</v>
      </c>
      <c r="P130">
        <v>172.60499999999999</v>
      </c>
      <c r="Q130">
        <v>178.05500000000001</v>
      </c>
      <c r="R130">
        <v>188.87700000000001</v>
      </c>
    </row>
    <row r="131" spans="2:18" x14ac:dyDescent="0.25">
      <c r="D131" t="s">
        <v>105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</row>
    <row r="132" spans="2:18" x14ac:dyDescent="0.25">
      <c r="D132" t="s">
        <v>109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</row>
    <row r="133" spans="2:18" x14ac:dyDescent="0.25">
      <c r="C133" t="s">
        <v>99</v>
      </c>
    </row>
    <row r="134" spans="2:18" x14ac:dyDescent="0.25">
      <c r="D134" t="s">
        <v>104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</row>
    <row r="135" spans="2:18" x14ac:dyDescent="0.25">
      <c r="D135" t="s">
        <v>105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</row>
    <row r="136" spans="2:18" x14ac:dyDescent="0.25">
      <c r="D136" t="s">
        <v>109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</row>
    <row r="137" spans="2:18" x14ac:dyDescent="0.25">
      <c r="C137" t="s">
        <v>100</v>
      </c>
    </row>
    <row r="138" spans="2:18" x14ac:dyDescent="0.25">
      <c r="D138" t="s">
        <v>103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</row>
    <row r="139" spans="2:18" x14ac:dyDescent="0.25">
      <c r="D139" t="s">
        <v>104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</row>
    <row r="140" spans="2:18" x14ac:dyDescent="0.25">
      <c r="D140" t="s">
        <v>109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</row>
    <row r="141" spans="2:18" x14ac:dyDescent="0.25">
      <c r="C141" t="s">
        <v>119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</row>
    <row r="142" spans="2:18" x14ac:dyDescent="0.25">
      <c r="B142" t="s">
        <v>110</v>
      </c>
    </row>
    <row r="143" spans="2:18" x14ac:dyDescent="0.25">
      <c r="C143" t="s">
        <v>98</v>
      </c>
      <c r="F143">
        <v>275018.84999999998</v>
      </c>
      <c r="G143">
        <v>49512.343999999997</v>
      </c>
      <c r="H143">
        <v>42981.917999999998</v>
      </c>
      <c r="I143">
        <v>36157.156000000003</v>
      </c>
      <c r="J143">
        <v>18017.688999999998</v>
      </c>
      <c r="K143">
        <v>4868.9830000000002</v>
      </c>
      <c r="L143">
        <v>411.52199999999999</v>
      </c>
      <c r="M143">
        <v>0</v>
      </c>
      <c r="N143">
        <v>0</v>
      </c>
      <c r="O143">
        <v>6312.1729999999998</v>
      </c>
      <c r="P143">
        <v>23087.305</v>
      </c>
      <c r="Q143">
        <v>41727.480000000003</v>
      </c>
      <c r="R143">
        <v>51942.277000000002</v>
      </c>
    </row>
    <row r="144" spans="2:18" x14ac:dyDescent="0.25">
      <c r="C144" t="s">
        <v>99</v>
      </c>
      <c r="F144">
        <v>19942.784</v>
      </c>
      <c r="G144">
        <v>3387.5410000000002</v>
      </c>
      <c r="H144">
        <v>3059.7150000000001</v>
      </c>
      <c r="I144">
        <v>3387.5410000000002</v>
      </c>
      <c r="J144">
        <v>3278.2660000000001</v>
      </c>
      <c r="K144">
        <v>3387.5410000000002</v>
      </c>
      <c r="L144">
        <v>3278.2660000000001</v>
      </c>
      <c r="M144">
        <v>3387.5410000000002</v>
      </c>
      <c r="N144">
        <v>3387.5410000000002</v>
      </c>
      <c r="O144">
        <v>3278.2660000000001</v>
      </c>
      <c r="P144">
        <v>3387.5410000000002</v>
      </c>
      <c r="Q144">
        <v>3278.2660000000001</v>
      </c>
      <c r="R144">
        <v>3387.5410000000002</v>
      </c>
    </row>
    <row r="145" spans="3:18" x14ac:dyDescent="0.25">
      <c r="C145" t="s">
        <v>100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</row>
    <row r="146" spans="3:18" x14ac:dyDescent="0.25">
      <c r="C146" t="s">
        <v>101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</row>
    <row r="147" spans="3:18" x14ac:dyDescent="0.25">
      <c r="C147" t="s">
        <v>92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</row>
    <row r="148" spans="3:18" x14ac:dyDescent="0.25">
      <c r="C148" t="s">
        <v>119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5"/>
  <dimension ref="A1:BI411"/>
  <sheetViews>
    <sheetView topLeftCell="A94" zoomScale="10" zoomScaleNormal="10" workbookViewId="0">
      <selection activeCell="AR367" sqref="AR367"/>
    </sheetView>
  </sheetViews>
  <sheetFormatPr baseColWidth="10" defaultColWidth="11.42578125" defaultRowHeight="12.75" x14ac:dyDescent="0.2"/>
  <cols>
    <col min="1" max="1" width="11.42578125" style="3"/>
    <col min="2" max="2" width="14.7109375" style="3" customWidth="1"/>
    <col min="3" max="3" width="12.140625" style="3" customWidth="1"/>
    <col min="4" max="4" width="14" style="3" customWidth="1"/>
    <col min="5" max="5" width="12.42578125" style="3" customWidth="1"/>
    <col min="6" max="7" width="12.7109375" style="3" customWidth="1"/>
    <col min="8" max="8" width="8.7109375" style="3" customWidth="1"/>
    <col min="9" max="9" width="18.140625" style="3" customWidth="1"/>
    <col min="10" max="10" width="44.5703125" style="3" customWidth="1"/>
    <col min="11" max="13" width="15.7109375" style="3" customWidth="1"/>
    <col min="14" max="14" width="11.5703125" style="3" customWidth="1"/>
    <col min="15" max="15" width="53.7109375" style="3" customWidth="1"/>
    <col min="16" max="16" width="15.7109375" style="3" customWidth="1"/>
    <col min="17" max="17" width="10.7109375" style="3" customWidth="1"/>
    <col min="18" max="22" width="15.7109375" style="3" customWidth="1"/>
    <col min="23" max="23" width="13.140625" style="3" customWidth="1"/>
    <col min="24" max="24" width="44.5703125" style="3" customWidth="1"/>
    <col min="25" max="27" width="15.7109375" style="3" customWidth="1"/>
    <col min="28" max="28" width="11.42578125" style="3"/>
    <col min="29" max="31" width="30.28515625" style="3" customWidth="1"/>
    <col min="32" max="33" width="11.42578125" style="3"/>
    <col min="34" max="34" width="20.7109375" style="3" customWidth="1"/>
    <col min="35" max="35" width="15.7109375" style="3" customWidth="1"/>
    <col min="36" max="40" width="10.7109375" style="3" customWidth="1"/>
    <col min="41" max="42" width="11.42578125" style="3"/>
    <col min="43" max="46" width="23.28515625" style="3" customWidth="1"/>
    <col min="47" max="48" width="11.42578125" style="3"/>
    <col min="49" max="49" width="30.7109375" style="3" customWidth="1"/>
    <col min="50" max="53" width="15.7109375" style="3" customWidth="1"/>
    <col min="54" max="54" width="11.42578125" style="3"/>
    <col min="55" max="56" width="35.7109375" style="3" customWidth="1"/>
    <col min="57" max="57" width="20.7109375" style="3" customWidth="1"/>
    <col min="58" max="58" width="11.42578125" style="3"/>
    <col min="59" max="60" width="35.7109375" style="3" customWidth="1"/>
    <col min="61" max="61" width="20.7109375" style="3" customWidth="1"/>
    <col min="62" max="16384" width="11.42578125" style="3"/>
  </cols>
  <sheetData>
    <row r="1" spans="1:4" x14ac:dyDescent="0.2">
      <c r="A1" s="2" t="s">
        <v>0</v>
      </c>
    </row>
    <row r="2" spans="1:4" x14ac:dyDescent="0.2">
      <c r="A2" s="2" t="s">
        <v>1</v>
      </c>
    </row>
    <row r="4" spans="1:4" x14ac:dyDescent="0.2">
      <c r="A4" s="3" t="s">
        <v>3</v>
      </c>
    </row>
    <row r="5" spans="1:4" x14ac:dyDescent="0.2">
      <c r="B5" s="1" t="s">
        <v>4</v>
      </c>
      <c r="C5" s="1" t="str">
        <f>ProObjektInfo</f>
        <v>Neubau Fam. Lüdke</v>
      </c>
      <c r="D5" s="3" t="str">
        <f ca="1">CONCATENATE(ProObjektInfo,", ",C6,", ",C7)</f>
        <v>Neubau Fam. Lüdke, Am Park 12, 37073 Göttingen</v>
      </c>
    </row>
    <row r="6" spans="1:4" x14ac:dyDescent="0.2">
      <c r="B6" s="1"/>
      <c r="C6" s="1" t="str">
        <f ca="1">OFFSET(ProObjektInfo,1,0,1,1)</f>
        <v>Am Park 12</v>
      </c>
    </row>
    <row r="7" spans="1:4" x14ac:dyDescent="0.2">
      <c r="B7" s="1"/>
      <c r="C7" s="1" t="str">
        <f ca="1">OFFSET(ProObjektInfo,2,0,1,1)</f>
        <v>37073 Göttingen</v>
      </c>
    </row>
    <row r="8" spans="1:4" x14ac:dyDescent="0.2">
      <c r="B8" s="1"/>
      <c r="C8" s="1"/>
    </row>
    <row r="9" spans="1:4" x14ac:dyDescent="0.2">
      <c r="B9" s="1" t="s">
        <v>2</v>
      </c>
      <c r="C9" s="1" t="str">
        <f>ProEigAnrede</f>
        <v>Familie Lüdke</v>
      </c>
    </row>
    <row r="10" spans="1:4" x14ac:dyDescent="0.2">
      <c r="B10" s="1"/>
      <c r="C10" s="1" t="str">
        <f ca="1">OFFSET(ProEigAnrede,1,0,1,1)</f>
        <v>Mitteldorfstraße 17</v>
      </c>
    </row>
    <row r="11" spans="1:4" x14ac:dyDescent="0.2">
      <c r="B11" s="1"/>
      <c r="C11" s="1" t="str">
        <f ca="1">OFFSET(ProEigAnrede,2,0,1,1)</f>
        <v>37083 Göttingen</v>
      </c>
    </row>
    <row r="13" spans="1:4" x14ac:dyDescent="0.2">
      <c r="A13" s="3" t="s">
        <v>5</v>
      </c>
    </row>
    <row r="14" spans="1:4" x14ac:dyDescent="0.2">
      <c r="B14" s="3" t="s">
        <v>6</v>
      </c>
      <c r="C14" s="4">
        <f>AllgBezugFlach</f>
        <v>1081.5999999999999</v>
      </c>
    </row>
    <row r="15" spans="1:4" x14ac:dyDescent="0.2">
      <c r="B15" s="3" t="s">
        <v>7</v>
      </c>
      <c r="C15" s="4">
        <f ca="1">OFFSET(AllgBezugFlach,1,0,1,1)</f>
        <v>986.75</v>
      </c>
    </row>
    <row r="16" spans="1:4" ht="14.25" x14ac:dyDescent="0.25">
      <c r="B16" s="3" t="s">
        <v>161</v>
      </c>
      <c r="C16" s="4">
        <f>SCAllgDatErg!B13</f>
        <v>3380</v>
      </c>
    </row>
    <row r="18" spans="1:12" x14ac:dyDescent="0.2">
      <c r="A18" s="3" t="s">
        <v>22</v>
      </c>
    </row>
    <row r="19" spans="1:12" x14ac:dyDescent="0.2">
      <c r="C19" s="3" t="s">
        <v>8</v>
      </c>
      <c r="D19" s="3" t="s">
        <v>13</v>
      </c>
      <c r="E19" s="3" t="s">
        <v>14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19</v>
      </c>
      <c r="K19" s="3" t="s">
        <v>20</v>
      </c>
      <c r="L19" s="3" t="s">
        <v>21</v>
      </c>
    </row>
    <row r="20" spans="1:12" x14ac:dyDescent="0.2">
      <c r="B20" s="3" t="s">
        <v>12</v>
      </c>
      <c r="C20" s="3" t="str">
        <f>IF(ModEinZugBez&lt;&gt;"",ModEinZugBez,"Es wurde keine Modernisierung in einem Zug an den Energiebericht übergeben.")</f>
        <v>MP3</v>
      </c>
      <c r="D20" s="3" t="str">
        <f>IF(Mod1Bez&lt;&gt;"",Mod1Bez,"")</f>
        <v>MP1</v>
      </c>
      <c r="E20" s="3" t="str">
        <f>IF(Mod2Bez&lt;&gt;"",Mod2Bez,"")</f>
        <v>MP2</v>
      </c>
      <c r="F20" s="3" t="str">
        <f>IF(Mod3Bez&lt;&gt;"",Mod3Bez,"")</f>
        <v/>
      </c>
      <c r="G20" s="3" t="str">
        <f>IF(Mod4Bez&lt;&gt;"",Mod4Bez,"")</f>
        <v/>
      </c>
      <c r="H20" s="3" t="str">
        <f>IF(Mod5Bez&lt;&gt;"",Mod5Bez,"")</f>
        <v/>
      </c>
      <c r="I20" s="3" t="str">
        <f>IF(Mod6Bez&lt;&gt;"",Mod6Bez,"")</f>
        <v/>
      </c>
      <c r="J20" s="3" t="str">
        <f>IF(Mod7Bez&lt;&gt;"",Mod7Bez,"")</f>
        <v/>
      </c>
      <c r="K20" s="3" t="str">
        <f>IF(Mod8Bez&lt;&gt;"",Mod8Bez,"")</f>
        <v/>
      </c>
      <c r="L20" s="3" t="str">
        <f>IF(Mod9Bez&lt;&gt;"",Mod9Bez,"")</f>
        <v/>
      </c>
    </row>
    <row r="21" spans="1:12" ht="13.5" thickBot="1" x14ac:dyDescent="0.25"/>
    <row r="22" spans="1:12" x14ac:dyDescent="0.2">
      <c r="B22" s="3" t="s">
        <v>11</v>
      </c>
      <c r="C22" s="5" t="str">
        <f>IF(ModEinZugBezKom&lt;&gt;"",ModEinZugBezKom,"Es wurden keine Komponenten an den Energiebericht übergeben")</f>
        <v>Außendämmung mit Wärmedämmverbundsystem (WLG 035), 20.00 cm</v>
      </c>
      <c r="D22" s="5" t="str">
        <f>IF(Mod1BezKom&lt;&gt;"",Mod1BezKom,"")</f>
        <v>Unterseitige Anbringung von Mineralwolle-Platten (WLG, 20.00 cm</v>
      </c>
      <c r="E22" s="5" t="str">
        <f>IF(Mod2BezKom&lt;&gt;"",Mod2BezKom,"")</f>
        <v>Außendämmung mit Wärmedämmverbundsystem (WLG 035), 20.00 cm</v>
      </c>
      <c r="F22" s="5" t="str">
        <f>IF(Mod3BezKom&lt;&gt;"",Mod3BezKom,"")</f>
        <v/>
      </c>
      <c r="G22" s="5" t="str">
        <f>IF(Mod4BezKom&lt;&gt;"",Mod4BezKom,"")</f>
        <v/>
      </c>
      <c r="H22" s="5" t="str">
        <f>IF(Mod5BezKom&lt;&gt;"",Mod5BezKom,"")</f>
        <v/>
      </c>
      <c r="I22" s="5" t="str">
        <f>IF(Mod6BezKom&lt;&gt;"",Mod6BezKom,"")</f>
        <v/>
      </c>
      <c r="J22" s="5" t="str">
        <f>IF(Mod7BezKom&lt;&gt;"",Mod7BezKom,"")</f>
        <v/>
      </c>
      <c r="K22" s="5" t="str">
        <f>IF(Mod8BezKom&lt;&gt;"",Mod8BezKom,"")</f>
        <v/>
      </c>
      <c r="L22" s="5" t="str">
        <f>IF(Mod9BezKom&lt;&gt;"",Mod9BezKom,"")</f>
        <v/>
      </c>
    </row>
    <row r="23" spans="1:12" x14ac:dyDescent="0.2">
      <c r="C23" s="6" t="str">
        <f ca="1">IF(OFFSET(ModEinZugBezKom,0,1,1,1)&lt;&gt;"",OFFSET(ModEinZugBezKom,0,1,1,1),"")</f>
        <v>Unterseitige Anbringung von Mineralwolle-Platten (WLG, 20.00 cm</v>
      </c>
      <c r="D23" s="6" t="str">
        <f ca="1">IF(OFFSET(Mod1BezKom,0,1,1,1)&lt;&gt;"",OFFSET(Mod1BezKom,0,1,1,1),"")</f>
        <v>Flachdach: Dämmung (WLG 035) aufbringen (auf das vorh, 20.00 cm</v>
      </c>
      <c r="E23" s="6" t="str">
        <f ca="1">IF(OFFSET(Mod2BezKom,0,1,1,1)&lt;&gt;"",OFFSET(Mod2BezKom,0,1,1,1),"")</f>
        <v>Unterseitige Anbringung von Mineralwolle-Platten (WLG, 20.00 cm</v>
      </c>
      <c r="F23" s="6" t="str">
        <f ca="1">IF(OFFSET(Mod3BezKom,0,1,1,1)&lt;&gt;"",OFFSET(Mod3BezKom,0,1,1,1),"")</f>
        <v/>
      </c>
      <c r="G23" s="6" t="str">
        <f ca="1">IF(OFFSET(Mod4BezKom,0,1,1,1)&lt;&gt;"",OFFSET(Mod4BezKom,0,1,1,1),"")</f>
        <v/>
      </c>
      <c r="H23" s="6" t="str">
        <f ca="1">IF(OFFSET(Mod5BezKom,0,1,1,1)&lt;&gt;"",OFFSET(Mod5BezKom,0,1,1,1),"")</f>
        <v/>
      </c>
      <c r="I23" s="6" t="str">
        <f ca="1">IF(OFFSET(Mod6BezKom,0,1,1,1)&lt;&gt;"",OFFSET(Mod6BezKom,0,1,1,1),"")</f>
        <v/>
      </c>
      <c r="J23" s="6" t="str">
        <f ca="1">IF(OFFSET(Mod7BezKom,0,1,1,1)&lt;&gt;"",OFFSET(Mod7BezKom,0,1,1,1),"")</f>
        <v/>
      </c>
      <c r="K23" s="6" t="str">
        <f ca="1">IF(OFFSET(Mod8BezKom,0,1,1,1)&lt;&gt;"",OFFSET(Mod8BezKom,0,1,1,1),"")</f>
        <v/>
      </c>
      <c r="L23" s="6" t="str">
        <f ca="1">IF(OFFSET(Mod9BezKom,0,1,1,1)&lt;&gt;"",OFFSET(Mod9BezKom,0,1,1,1),"")</f>
        <v/>
      </c>
    </row>
    <row r="24" spans="1:12" x14ac:dyDescent="0.2">
      <c r="C24" s="6" t="str">
        <f ca="1">IF(OFFSET(ModEinZugBezKom,0,2,1,1)&lt;&gt;"",OFFSET(ModEinZugBezKom,0,2,1,1),"")</f>
        <v>Flachdach: Dämmung (WLG 035) aufbringen (auf das vorh, 20.00 cm</v>
      </c>
      <c r="D24" s="6" t="str">
        <f ca="1">IF(OFFSET(Mod1BezKom,0,2,1,1)&lt;&gt;"",OFFSET(Mod1BezKom,0,2,1,1),"")</f>
        <v/>
      </c>
      <c r="E24" s="6" t="str">
        <f ca="1">IF(OFFSET(Mod2BezKom,0,2,1,1)&lt;&gt;"",OFFSET(Mod2BezKom,0,2,1,1),"")</f>
        <v>Flachdach: Dämmung (WLG 035) aufbringen (auf das vorh, 20.00 cm</v>
      </c>
      <c r="F24" s="6" t="str">
        <f ca="1">IF(OFFSET(Mod3BezKom,0,2,1,1)&lt;&gt;"",OFFSET(Mod3BezKom,0,2,1,1),"")</f>
        <v/>
      </c>
      <c r="G24" s="6" t="str">
        <f ca="1">IF(OFFSET(Mod4BezKom,0,2,1,1)&lt;&gt;"",OFFSET(Mod4BezKom,0,2,1,1),"")</f>
        <v/>
      </c>
      <c r="H24" s="6" t="str">
        <f ca="1">IF(OFFSET(Mod5BezKom,0,2,1,1)&lt;&gt;"",OFFSET(Mod5BezKom,0,2,1,1),"")</f>
        <v/>
      </c>
      <c r="I24" s="6" t="str">
        <f ca="1">IF(OFFSET(Mod6BezKom,0,2,1,1)&lt;&gt;"",OFFSET(Mod6BezKom,0,2,1,1),"")</f>
        <v/>
      </c>
      <c r="J24" s="6" t="str">
        <f ca="1">IF(OFFSET(Mod7BezKom,0,2,1,1)&lt;&gt;"",OFFSET(Mod7BezKom,0,2,1,1),"")</f>
        <v/>
      </c>
      <c r="K24" s="6" t="str">
        <f ca="1">IF(OFFSET(Mod8BezKom,0,2,1,1)&lt;&gt;"",OFFSET(Mod8BezKom,0,2,1,1),"")</f>
        <v/>
      </c>
      <c r="L24" s="6" t="str">
        <f ca="1">IF(OFFSET(Mod9BezKom,0,2,1,1)&lt;&gt;"",OFFSET(Mod9BezKom,0,2,1,1),"")</f>
        <v/>
      </c>
    </row>
    <row r="25" spans="1:12" x14ac:dyDescent="0.2">
      <c r="C25" s="6" t="str">
        <f ca="1">IF(OFFSET(ModEinZugBezKom,0,3,1,1)&lt;&gt;"",OFFSET(ModEinZugBezKom,0,3,1,1),"")</f>
        <v>AF03 - Fenster Passivhausstandard</v>
      </c>
      <c r="D25" s="6" t="str">
        <f ca="1">IF(OFFSET(Mod1BezKom,0,3,1,1)&lt;&gt;"",OFFSET(Mod1BezKom,0,3,1,1),"")</f>
        <v/>
      </c>
      <c r="E25" s="6" t="str">
        <f ca="1">IF(OFFSET(Mod2BezKom,0,3,1,1)&lt;&gt;"",OFFSET(Mod2BezKom,0,3,1,1),"")</f>
        <v>AF03 - Fenster Passivhausstandard</v>
      </c>
      <c r="F25" s="6" t="str">
        <f ca="1">IF(OFFSET(Mod3BezKom,0,3,1,1)&lt;&gt;"",OFFSET(Mod3BezKom,0,3,1,1),"")</f>
        <v/>
      </c>
      <c r="G25" s="6" t="str">
        <f ca="1">IF(OFFSET(Mod4BezKom,0,3,1,1)&lt;&gt;"",OFFSET(Mod4BezKom,0,3,1,1),"")</f>
        <v/>
      </c>
      <c r="H25" s="6" t="str">
        <f ca="1">IF(OFFSET(Mod5BezKom,0,3,1,1)&lt;&gt;"",OFFSET(Mod5BezKom,0,3,1,1),"")</f>
        <v/>
      </c>
      <c r="I25" s="6" t="str">
        <f ca="1">IF(OFFSET(Mod6BezKom,0,3,1,1)&lt;&gt;"",OFFSET(Mod6BezKom,0,3,1,1),"")</f>
        <v/>
      </c>
      <c r="J25" s="6" t="str">
        <f ca="1">IF(OFFSET(Mod7BezKom,0,3,1,1)&lt;&gt;"",OFFSET(Mod7BezKom,0,3,1,1),"")</f>
        <v/>
      </c>
      <c r="K25" s="6" t="str">
        <f ca="1">IF(OFFSET(Mod8BezKom,0,3,1,1)&lt;&gt;"",OFFSET(Mod8BezKom,0,3,1,1),"")</f>
        <v/>
      </c>
      <c r="L25" s="6" t="str">
        <f ca="1">IF(OFFSET(Mod9BezKom,0,3,1,1)&lt;&gt;"",OFFSET(Mod9BezKom,0,3,1,1),"")</f>
        <v/>
      </c>
    </row>
    <row r="26" spans="1:12" x14ac:dyDescent="0.2">
      <c r="C26" s="6" t="str">
        <f ca="1">IF(OFFSET(ModEinZugBezKom,0,4,1,1)&lt;&gt;"",OFFSET(ModEinZugBezKom,0,4,1,1),"")</f>
        <v>test</v>
      </c>
      <c r="D26" s="6" t="str">
        <f ca="1">IF(OFFSET(Mod1BezKom,0,4,1,1)&lt;&gt;"",OFFSET(Mod1BezKom,0,4,1,1),"")</f>
        <v/>
      </c>
      <c r="E26" s="6" t="str">
        <f ca="1">IF(OFFSET(Mod2BezKom,0,4,1,1)&lt;&gt;"",OFFSET(Mod2BezKom,0,4,1,1),"")</f>
        <v>dfsg</v>
      </c>
      <c r="F26" s="6" t="str">
        <f ca="1">IF(OFFSET(Mod3BezKom,0,4,1,1)&lt;&gt;"",OFFSET(Mod3BezKom,0,4,1,1),"")</f>
        <v/>
      </c>
      <c r="G26" s="6" t="str">
        <f ca="1">IF(OFFSET(Mod4BezKom,0,4,1,1)&lt;&gt;"",OFFSET(Mod4BezKom,0,4,1,1),"")</f>
        <v/>
      </c>
      <c r="H26" s="6" t="str">
        <f ca="1">IF(OFFSET(Mod5BezKom,0,4,1,1)&lt;&gt;"",OFFSET(Mod5BezKom,0,4,1,1),"")</f>
        <v/>
      </c>
      <c r="I26" s="6" t="str">
        <f ca="1">IF(OFFSET(Mod6BezKom,0,4,1,1)&lt;&gt;"",OFFSET(Mod6BezKom,0,4,1,1),"")</f>
        <v/>
      </c>
      <c r="J26" s="6" t="str">
        <f ca="1">IF(OFFSET(Mod7BezKom,0,4,1,1)&lt;&gt;"",OFFSET(Mod7BezKom,0,4,1,1),"")</f>
        <v/>
      </c>
      <c r="K26" s="6" t="str">
        <f ca="1">IF(OFFSET(Mod8BezKom,0,4,1,1)&lt;&gt;"",OFFSET(Mod8BezKom,0,4,1,1),"")</f>
        <v/>
      </c>
      <c r="L26" s="6" t="str">
        <f ca="1">IF(OFFSET(Mod9BezKom,0,4,1,1)&lt;&gt;"",OFFSET(Mod9BezKom,0,4,1,1),"")</f>
        <v/>
      </c>
    </row>
    <row r="27" spans="1:12" x14ac:dyDescent="0.2">
      <c r="C27" s="6" t="str">
        <f ca="1">IF(OFFSET(ModEinZugBezKom,0,5,1,1)&lt;&gt;"",OFFSET(ModEinZugBezKom,0,5,1,1),"")</f>
        <v/>
      </c>
      <c r="D27" s="6" t="str">
        <f ca="1">IF(OFFSET(Mod1BezKom,0,5,1,1)&lt;&gt;"",OFFSET(Mod1BezKom,0,5,1,1),"")</f>
        <v/>
      </c>
      <c r="E27" s="6" t="str">
        <f ca="1">IF(OFFSET(Mod2BezKom,0,5,1,1)&lt;&gt;"",OFFSET(Mod2BezKom,0,5,1,1),"")</f>
        <v/>
      </c>
      <c r="F27" s="6" t="str">
        <f ca="1">IF(OFFSET(Mod3BezKom,0,5,1,1)&lt;&gt;"",OFFSET(Mod3BezKom,0,5,1,1),"")</f>
        <v/>
      </c>
      <c r="G27" s="6" t="str">
        <f ca="1">IF(OFFSET(Mod4BezKom,0,5,1,1)&lt;&gt;"",OFFSET(Mod4BezKom,0,5,1,1),"")</f>
        <v/>
      </c>
      <c r="H27" s="6" t="str">
        <f ca="1">IF(OFFSET(Mod5BezKom,0,5,1,1)&lt;&gt;"",OFFSET(Mod5BezKom,0,5,1,1),"")</f>
        <v/>
      </c>
      <c r="I27" s="6" t="str">
        <f ca="1">IF(OFFSET(Mod6BezKom,0,5,1,1)&lt;&gt;"",OFFSET(Mod6BezKom,0,5,1,1),"")</f>
        <v/>
      </c>
      <c r="J27" s="6" t="str">
        <f ca="1">IF(OFFSET(Mod7BezKom,0,5,1,1)&lt;&gt;"",OFFSET(Mod7BezKom,0,5,1,1),"")</f>
        <v/>
      </c>
      <c r="K27" s="6" t="str">
        <f ca="1">IF(OFFSET(Mod8BezKom,0,5,1,1)&lt;&gt;"",OFFSET(Mod8BezKom,0,5,1,1),"")</f>
        <v/>
      </c>
      <c r="L27" s="6" t="str">
        <f ca="1">IF(OFFSET(Mod9BezKom,0,5,1,1)&lt;&gt;"",OFFSET(Mod9BezKom,0,5,1,1),"")</f>
        <v/>
      </c>
    </row>
    <row r="28" spans="1:12" x14ac:dyDescent="0.2">
      <c r="C28" s="6" t="str">
        <f ca="1">IF(OFFSET(ModEinZugBezKom,0,6,1,1)&lt;&gt;"",OFFSET(ModEinZugBezKom,0,6,1,1),"")</f>
        <v/>
      </c>
      <c r="D28" s="6" t="str">
        <f ca="1">IF(OFFSET(Mod1BezKom,0,6,1,1)&lt;&gt;"",OFFSET(Mod1BezKom,0,6,1,1),"")</f>
        <v/>
      </c>
      <c r="E28" s="6" t="str">
        <f ca="1">IF(OFFSET(Mod2BezKom,0,6,1,1)&lt;&gt;"",OFFSET(Mod2BezKom,0,6,1,1),"")</f>
        <v/>
      </c>
      <c r="F28" s="6" t="str">
        <f ca="1">IF(OFFSET(Mod3BezKom,0,6,1,1)&lt;&gt;"",OFFSET(Mod3BezKom,0,6,1,1),"")</f>
        <v/>
      </c>
      <c r="G28" s="6" t="str">
        <f ca="1">IF(OFFSET(Mod4BezKom,0,6,1,1)&lt;&gt;"",OFFSET(Mod4BezKom,0,6,1,1),"")</f>
        <v/>
      </c>
      <c r="H28" s="6" t="str">
        <f ca="1">IF(OFFSET(Mod5BezKom,0,6,1,1)&lt;&gt;"",OFFSET(Mod5BezKom,0,6,1,1),"")</f>
        <v/>
      </c>
      <c r="I28" s="6" t="str">
        <f ca="1">IF(OFFSET(Mod6BezKom,0,6,1,1)&lt;&gt;"",OFFSET(Mod6BezKom,0,6,1,1),"")</f>
        <v/>
      </c>
      <c r="J28" s="6" t="str">
        <f ca="1">IF(OFFSET(Mod7BezKom,0,6,1,1)&lt;&gt;"",OFFSET(Mod7BezKom,0,6,1,1),"")</f>
        <v/>
      </c>
      <c r="K28" s="6" t="str">
        <f ca="1">IF(OFFSET(Mod8BezKom,0,6,1,1)&lt;&gt;"",OFFSET(Mod8BezKom,0,6,1,1),"")</f>
        <v/>
      </c>
      <c r="L28" s="6" t="str">
        <f ca="1">IF(OFFSET(Mod9BezKom,0,6,1,1)&lt;&gt;"",OFFSET(Mod9BezKom,0,6,1,1),"")</f>
        <v/>
      </c>
    </row>
    <row r="29" spans="1:12" x14ac:dyDescent="0.2">
      <c r="C29" s="6" t="str">
        <f ca="1">IF(OFFSET(ModEinZugBezKom,0,7,1,1)&lt;&gt;"",OFFSET(ModEinZugBezKom,0,7,1,1),"")</f>
        <v/>
      </c>
      <c r="D29" s="6" t="str">
        <f ca="1">IF(OFFSET(Mod1BezKom,0,7,1,1)&lt;&gt;"",OFFSET(Mod1BezKom,0,7,1,1),"")</f>
        <v/>
      </c>
      <c r="E29" s="6" t="str">
        <f ca="1">IF(OFFSET(Mod2BezKom,0,7,1,1)&lt;&gt;"",OFFSET(Mod2BezKom,0,7,1,1),"")</f>
        <v/>
      </c>
      <c r="F29" s="6" t="str">
        <f ca="1">IF(OFFSET(Mod3BezKom,0,7,1,1)&lt;&gt;"",OFFSET(Mod3BezKom,0,7,1,1),"")</f>
        <v/>
      </c>
      <c r="G29" s="6" t="str">
        <f ca="1">IF(OFFSET(Mod4BezKom,0,7,1,1)&lt;&gt;"",OFFSET(Mod4BezKom,0,7,1,1),"")</f>
        <v/>
      </c>
      <c r="H29" s="6" t="str">
        <f ca="1">IF(OFFSET(Mod5BezKom,0,7,1,1)&lt;&gt;"",OFFSET(Mod5BezKom,0,7,1,1),"")</f>
        <v/>
      </c>
      <c r="I29" s="6" t="str">
        <f ca="1">IF(OFFSET(Mod6BezKom,0,7,1,1)&lt;&gt;"",OFFSET(Mod6BezKom,0,7,1,1),"")</f>
        <v/>
      </c>
      <c r="J29" s="6" t="str">
        <f ca="1">IF(OFFSET(Mod7BezKom,0,7,1,1)&lt;&gt;"",OFFSET(Mod7BezKom,0,7,1,1),"")</f>
        <v/>
      </c>
      <c r="K29" s="6" t="str">
        <f ca="1">IF(OFFSET(Mod8BezKom,0,7,1,1)&lt;&gt;"",OFFSET(Mod8BezKom,0,7,1,1),"")</f>
        <v/>
      </c>
      <c r="L29" s="6" t="str">
        <f ca="1">IF(OFFSET(Mod9BezKom,0,7,1,1)&lt;&gt;"",OFFSET(Mod9BezKom,0,7,1,1),"")</f>
        <v/>
      </c>
    </row>
    <row r="30" spans="1:12" x14ac:dyDescent="0.2">
      <c r="C30" s="6" t="str">
        <f ca="1">IF(OFFSET(ModEinZugBezKom,0,8,1,1)&lt;&gt;"",OFFSET(ModEinZugBezKom,0,8,1,1),"")</f>
        <v/>
      </c>
      <c r="D30" s="6" t="str">
        <f ca="1">IF(OFFSET(Mod1BezKom,0,8,1,1)&lt;&gt;"",OFFSET(Mod1BezKom,0,8,1,1),"")</f>
        <v/>
      </c>
      <c r="E30" s="6" t="str">
        <f ca="1">IF(OFFSET(Mod2BezKom,0,8,1,1)&lt;&gt;"",OFFSET(Mod2BezKom,0,8,1,1),"")</f>
        <v/>
      </c>
      <c r="F30" s="6" t="str">
        <f ca="1">IF(OFFSET(Mod3BezKom,0,8,1,1)&lt;&gt;"",OFFSET(Mod3BezKom,0,8,1,1),"")</f>
        <v/>
      </c>
      <c r="G30" s="6" t="str">
        <f ca="1">IF(OFFSET(Mod4BezKom,0,8,1,1)&lt;&gt;"",OFFSET(Mod4BezKom,0,8,1,1),"")</f>
        <v/>
      </c>
      <c r="H30" s="6" t="str">
        <f ca="1">IF(OFFSET(Mod5BezKom,0,8,1,1)&lt;&gt;"",OFFSET(Mod5BezKom,0,8,1,1),"")</f>
        <v/>
      </c>
      <c r="I30" s="6" t="str">
        <f ca="1">IF(OFFSET(Mod6BezKom,0,8,1,1)&lt;&gt;"",OFFSET(Mod6BezKom,0,8,1,1),"")</f>
        <v/>
      </c>
      <c r="J30" s="6" t="str">
        <f ca="1">IF(OFFSET(Mod7BezKom,0,8,1,1)&lt;&gt;"",OFFSET(Mod7BezKom,0,8,1,1),"")</f>
        <v/>
      </c>
      <c r="K30" s="6" t="str">
        <f ca="1">IF(OFFSET(Mod8BezKom,0,8,1,1)&lt;&gt;"",OFFSET(Mod8BezKom,0,8,1,1),"")</f>
        <v/>
      </c>
      <c r="L30" s="6" t="str">
        <f ca="1">IF(OFFSET(Mod9BezKom,0,8,1,1)&lt;&gt;"",OFFSET(Mod9BezKom,0,8,1,1),"")</f>
        <v/>
      </c>
    </row>
    <row r="31" spans="1:12" x14ac:dyDescent="0.2">
      <c r="C31" s="6" t="str">
        <f ca="1">IF(OFFSET(ModEinZugBezKom,0,9,1,1)&lt;&gt;"",OFFSET(ModEinZugBezKom,0,9,1,1),"")</f>
        <v/>
      </c>
      <c r="D31" s="6" t="str">
        <f ca="1">IF(OFFSET(Mod1BezKom,0,9,1,1)&lt;&gt;"",OFFSET(Mod1BezKom,0,9,1,1),"")</f>
        <v/>
      </c>
      <c r="E31" s="6" t="str">
        <f ca="1">IF(OFFSET(Mod2BezKom,0,9,1,1)&lt;&gt;"",OFFSET(Mod2BezKom,0,9,1,1),"")</f>
        <v/>
      </c>
      <c r="F31" s="6" t="str">
        <f ca="1">IF(OFFSET(Mod3BezKom,0,9,1,1)&lt;&gt;"",OFFSET(Mod3BezKom,0,9,1,1),"")</f>
        <v/>
      </c>
      <c r="G31" s="6" t="str">
        <f ca="1">IF(OFFSET(Mod4BezKom,0,9,1,1)&lt;&gt;"",OFFSET(Mod4BezKom,0,9,1,1),"")</f>
        <v/>
      </c>
      <c r="H31" s="6" t="str">
        <f ca="1">IF(OFFSET(Mod5BezKom,0,9,1,1)&lt;&gt;"",OFFSET(Mod5BezKom,0,9,1,1),"")</f>
        <v/>
      </c>
      <c r="I31" s="6" t="str">
        <f ca="1">IF(OFFSET(Mod6BezKom,0,9,1,1)&lt;&gt;"",OFFSET(Mod6BezKom,0,9,1,1),"")</f>
        <v/>
      </c>
      <c r="J31" s="6" t="str">
        <f ca="1">IF(OFFSET(Mod7BezKom,0,9,1,1)&lt;&gt;"",OFFSET(Mod7BezKom,0,9,1,1),"")</f>
        <v/>
      </c>
      <c r="K31" s="6" t="str">
        <f ca="1">IF(OFFSET(Mod8BezKom,0,9,1,1)&lt;&gt;"",OFFSET(Mod8BezKom,0,9,1,1),"")</f>
        <v/>
      </c>
      <c r="L31" s="6" t="str">
        <f ca="1">IF(OFFSET(Mod9BezKom,0,9,1,1)&lt;&gt;"",OFFSET(Mod9BezKom,0,9,1,1),"")</f>
        <v/>
      </c>
    </row>
    <row r="32" spans="1:12" x14ac:dyDescent="0.2">
      <c r="C32" s="6" t="str">
        <f ca="1">IF(OFFSET(ModEinZugBezKom,0,10,1,1)&lt;&gt;"",OFFSET(ModEinZugBezKom,0,10,1,1),"")</f>
        <v/>
      </c>
      <c r="D32" s="6" t="str">
        <f ca="1">IF(OFFSET(Mod1BezKom,0,10,1,1)&lt;&gt;"",OFFSET(Mod1BezKom,0,10,1,1),"")</f>
        <v/>
      </c>
      <c r="E32" s="6" t="str">
        <f ca="1">IF(OFFSET(Mod2BezKom,0,10,1,1)&lt;&gt;"",OFFSET(Mod2BezKom,0,10,1,1),"")</f>
        <v/>
      </c>
      <c r="F32" s="6" t="str">
        <f ca="1">IF(OFFSET(Mod3BezKom,0,10,1,1)&lt;&gt;"",OFFSET(Mod3BezKom,0,10,1,1),"")</f>
        <v/>
      </c>
      <c r="G32" s="6" t="str">
        <f ca="1">IF(OFFSET(Mod4BezKom,0,10,1,1)&lt;&gt;"",OFFSET(Mod4BezKom,0,10,1,1),"")</f>
        <v/>
      </c>
      <c r="H32" s="6" t="str">
        <f ca="1">IF(OFFSET(Mod5BezKom,0,10,1,1)&lt;&gt;"",OFFSET(Mod5BezKom,0,10,1,1),"")</f>
        <v/>
      </c>
      <c r="I32" s="6" t="str">
        <f ca="1">IF(OFFSET(Mod6BezKom,0,10,1,1)&lt;&gt;"",OFFSET(Mod6BezKom,0,10,1,1),"")</f>
        <v/>
      </c>
      <c r="J32" s="6" t="str">
        <f ca="1">IF(OFFSET(Mod7BezKom,0,10,1,1)&lt;&gt;"",OFFSET(Mod7BezKom,0,10,1,1),"")</f>
        <v/>
      </c>
      <c r="K32" s="6" t="str">
        <f ca="1">IF(OFFSET(Mod8BezKom,0,10,1,1)&lt;&gt;"",OFFSET(Mod8BezKom,0,10,1,1),"")</f>
        <v/>
      </c>
      <c r="L32" s="6" t="str">
        <f ca="1">IF(OFFSET(Mod9BezKom,0,10,1,1)&lt;&gt;"",OFFSET(Mod9BezKom,0,10,1,1),"")</f>
        <v/>
      </c>
    </row>
    <row r="33" spans="3:12" x14ac:dyDescent="0.2">
      <c r="C33" s="6" t="str">
        <f ca="1">IF(OFFSET(ModEinZugBezKom,0,11,1,1)&lt;&gt;"",OFFSET(ModEinZugBezKom,0,11,1,1),"")</f>
        <v/>
      </c>
      <c r="D33" s="6" t="str">
        <f ca="1">IF(OFFSET(Mod1BezKom,0,11,1,1)&lt;&gt;"",OFFSET(Mod1BezKom,0,11,1,1),"")</f>
        <v/>
      </c>
      <c r="E33" s="6" t="str">
        <f ca="1">IF(OFFSET(Mod2BezKom,0,11,1,1)&lt;&gt;"",OFFSET(Mod2BezKom,0,11,1,1),"")</f>
        <v/>
      </c>
      <c r="F33" s="6" t="str">
        <f ca="1">IF(OFFSET(Mod3BezKom,0,11,1,1)&lt;&gt;"",OFFSET(Mod3BezKom,0,11,1,1),"")</f>
        <v/>
      </c>
      <c r="G33" s="6" t="str">
        <f ca="1">IF(OFFSET(Mod4BezKom,0,11,1,1)&lt;&gt;"",OFFSET(Mod4BezKom,0,11,1,1),"")</f>
        <v/>
      </c>
      <c r="H33" s="6" t="str">
        <f ca="1">IF(OFFSET(Mod5BezKom,0,11,1,1)&lt;&gt;"",OFFSET(Mod5BezKom,0,11,1,1),"")</f>
        <v/>
      </c>
      <c r="I33" s="6" t="str">
        <f ca="1">IF(OFFSET(Mod6BezKom,0,11,1,1)&lt;&gt;"",OFFSET(Mod6BezKom,0,11,1,1),"")</f>
        <v/>
      </c>
      <c r="J33" s="6" t="str">
        <f ca="1">IF(OFFSET(Mod7BezKom,0,11,1,1)&lt;&gt;"",OFFSET(Mod7BezKom,0,11,1,1),"")</f>
        <v/>
      </c>
      <c r="K33" s="6" t="str">
        <f ca="1">IF(OFFSET(Mod8BezKom,0,11,1,1)&lt;&gt;"",OFFSET(Mod8BezKom,0,11,1,1),"")</f>
        <v/>
      </c>
      <c r="L33" s="6" t="str">
        <f ca="1">IF(OFFSET(Mod9BezKom,0,11,1,1)&lt;&gt;"",OFFSET(Mod9BezKom,0,11,1,1),"")</f>
        <v/>
      </c>
    </row>
    <row r="34" spans="3:12" x14ac:dyDescent="0.2">
      <c r="C34" s="6" t="str">
        <f ca="1">IF(OFFSET(ModEinZugBezKom,0,12,1,1)&lt;&gt;"",OFFSET(ModEinZugBezKom,0,12,1,1),"")</f>
        <v/>
      </c>
      <c r="D34" s="6" t="str">
        <f ca="1">IF(OFFSET(Mod1BezKom,0,12,1,1)&lt;&gt;"",OFFSET(Mod1BezKom,0,12,1,1),"")</f>
        <v/>
      </c>
      <c r="E34" s="6" t="str">
        <f ca="1">IF(OFFSET(Mod2BezKom,0,12,1,1)&lt;&gt;"",OFFSET(Mod2BezKom,0,12,1,1),"")</f>
        <v/>
      </c>
      <c r="F34" s="6" t="str">
        <f ca="1">IF(OFFSET(Mod3BezKom,0,12,1,1)&lt;&gt;"",OFFSET(Mod3BezKom,0,12,1,1),"")</f>
        <v/>
      </c>
      <c r="G34" s="6" t="str">
        <f ca="1">IF(OFFSET(Mod4BezKom,0,12,1,1)&lt;&gt;"",OFFSET(Mod4BezKom,0,12,1,1),"")</f>
        <v/>
      </c>
      <c r="H34" s="6" t="str">
        <f ca="1">IF(OFFSET(Mod5BezKom,0,12,1,1)&lt;&gt;"",OFFSET(Mod5BezKom,0,12,1,1),"")</f>
        <v/>
      </c>
      <c r="I34" s="6" t="str">
        <f ca="1">IF(OFFSET(Mod6BezKom,0,12,1,1)&lt;&gt;"",OFFSET(Mod6BezKom,0,12,1,1),"")</f>
        <v/>
      </c>
      <c r="J34" s="6" t="str">
        <f ca="1">IF(OFFSET(Mod7BezKom,0,12,1,1)&lt;&gt;"",OFFSET(Mod7BezKom,0,12,1,1),"")</f>
        <v/>
      </c>
      <c r="K34" s="6" t="str">
        <f ca="1">IF(OFFSET(Mod8BezKom,0,12,1,1)&lt;&gt;"",OFFSET(Mod8BezKom,0,12,1,1),"")</f>
        <v/>
      </c>
      <c r="L34" s="6" t="str">
        <f ca="1">IF(OFFSET(Mod9BezKom,0,12,1,1)&lt;&gt;"",OFFSET(Mod9BezKom,0,12,1,1),"")</f>
        <v/>
      </c>
    </row>
    <row r="35" spans="3:12" x14ac:dyDescent="0.2">
      <c r="C35" s="6" t="str">
        <f ca="1">IF(OFFSET(ModEinZugBezKom,0,13,1,1)&lt;&gt;"",OFFSET(ModEinZugBezKom,0,13,1,1),"")</f>
        <v/>
      </c>
      <c r="D35" s="6" t="str">
        <f ca="1">IF(OFFSET(Mod1BezKom,0,13,1,1)&lt;&gt;"",OFFSET(Mod1BezKom,0,13,1,1),"")</f>
        <v/>
      </c>
      <c r="E35" s="6" t="str">
        <f ca="1">IF(OFFSET(Mod2BezKom,0,13,1,1)&lt;&gt;"",OFFSET(Mod2BezKom,0,13,1,1),"")</f>
        <v/>
      </c>
      <c r="F35" s="6" t="str">
        <f ca="1">IF(OFFSET(Mod3BezKom,0,13,1,1)&lt;&gt;"",OFFSET(Mod3BezKom,0,13,1,1),"")</f>
        <v/>
      </c>
      <c r="G35" s="6" t="str">
        <f ca="1">IF(OFFSET(Mod4BezKom,0,13,1,1)&lt;&gt;"",OFFSET(Mod4BezKom,0,13,1,1),"")</f>
        <v/>
      </c>
      <c r="H35" s="6" t="str">
        <f ca="1">IF(OFFSET(Mod5BezKom,0,13,1,1)&lt;&gt;"",OFFSET(Mod5BezKom,0,13,1,1),"")</f>
        <v/>
      </c>
      <c r="I35" s="6" t="str">
        <f ca="1">IF(OFFSET(Mod6BezKom,0,13,1,1)&lt;&gt;"",OFFSET(Mod6BezKom,0,13,1,1),"")</f>
        <v/>
      </c>
      <c r="J35" s="6" t="str">
        <f ca="1">IF(OFFSET(Mod7BezKom,0,13,1,1)&lt;&gt;"",OFFSET(Mod7BezKom,0,13,1,1),"")</f>
        <v/>
      </c>
      <c r="K35" s="6" t="str">
        <f ca="1">IF(OFFSET(Mod8BezKom,0,13,1,1)&lt;&gt;"",OFFSET(Mod8BezKom,0,13,1,1),"")</f>
        <v/>
      </c>
      <c r="L35" s="6" t="str">
        <f ca="1">IF(OFFSET(Mod9BezKom,0,13,1,1)&lt;&gt;"",OFFSET(Mod9BezKom,0,13,1,1),"")</f>
        <v/>
      </c>
    </row>
    <row r="36" spans="3:12" x14ac:dyDescent="0.2">
      <c r="C36" s="6" t="str">
        <f ca="1">IF(OFFSET(ModEinZugBezKom,0,14,1,1)&lt;&gt;"",OFFSET(ModEinZugBezKom,0,14,1,1),"")</f>
        <v/>
      </c>
      <c r="D36" s="6" t="str">
        <f ca="1">IF(OFFSET(Mod1BezKom,0,14,1,1)&lt;&gt;"",OFFSET(Mod1BezKom,0,14,1,1),"")</f>
        <v/>
      </c>
      <c r="E36" s="6" t="str">
        <f ca="1">IF(OFFSET(Mod2BezKom,0,14,1,1)&lt;&gt;"",OFFSET(Mod2BezKom,0,14,1,1),"")</f>
        <v/>
      </c>
      <c r="F36" s="6" t="str">
        <f ca="1">IF(OFFSET(Mod3BezKom,0,14,1,1)&lt;&gt;"",OFFSET(Mod3BezKom,0,14,1,1),"")</f>
        <v/>
      </c>
      <c r="G36" s="6" t="str">
        <f ca="1">IF(OFFSET(Mod4BezKom,0,14,1,1)&lt;&gt;"",OFFSET(Mod4BezKom,0,14,1,1),"")</f>
        <v/>
      </c>
      <c r="H36" s="6" t="str">
        <f ca="1">IF(OFFSET(Mod5BezKom,0,14,1,1)&lt;&gt;"",OFFSET(Mod5BezKom,0,14,1,1),"")</f>
        <v/>
      </c>
      <c r="I36" s="6" t="str">
        <f ca="1">IF(OFFSET(Mod6BezKom,0,14,1,1)&lt;&gt;"",OFFSET(Mod6BezKom,0,14,1,1),"")</f>
        <v/>
      </c>
      <c r="J36" s="6" t="str">
        <f ca="1">IF(OFFSET(Mod7BezKom,0,14,1,1)&lt;&gt;"",OFFSET(Mod7BezKom,0,14,1,1),"")</f>
        <v/>
      </c>
      <c r="K36" s="6" t="str">
        <f ca="1">IF(OFFSET(Mod8BezKom,0,14,1,1)&lt;&gt;"",OFFSET(Mod8BezKom,0,14,1,1),"")</f>
        <v/>
      </c>
      <c r="L36" s="6" t="str">
        <f ca="1">IF(OFFSET(Mod9BezKom,0,14,1,1)&lt;&gt;"",OFFSET(Mod9BezKom,0,14,1,1),"")</f>
        <v/>
      </c>
    </row>
    <row r="37" spans="3:12" x14ac:dyDescent="0.2">
      <c r="C37" s="6" t="str">
        <f ca="1">IF(OFFSET(ModEinZugBezKom,0,15,1,1)&lt;&gt;"",OFFSET(ModEinZugBezKom,0,15,1,1),"")</f>
        <v/>
      </c>
      <c r="D37" s="6" t="str">
        <f ca="1">IF(OFFSET(Mod1BezKom,0,15,1,1)&lt;&gt;"",OFFSET(Mod1BezKom,0,15,1,1),"")</f>
        <v/>
      </c>
      <c r="E37" s="6" t="str">
        <f ca="1">IF(OFFSET(Mod2BezKom,0,15,1,1)&lt;&gt;"",OFFSET(Mod2BezKom,0,15,1,1),"")</f>
        <v/>
      </c>
      <c r="F37" s="6" t="str">
        <f ca="1">IF(OFFSET(Mod3BezKom,0,15,1,1)&lt;&gt;"",OFFSET(Mod3BezKom,0,15,1,1),"")</f>
        <v/>
      </c>
      <c r="G37" s="6" t="str">
        <f ca="1">IF(OFFSET(Mod4BezKom,0,15,1,1)&lt;&gt;"",OFFSET(Mod4BezKom,0,15,1,1),"")</f>
        <v/>
      </c>
      <c r="H37" s="6" t="str">
        <f ca="1">IF(OFFSET(Mod5BezKom,0,15,1,1)&lt;&gt;"",OFFSET(Mod5BezKom,0,15,1,1),"")</f>
        <v/>
      </c>
      <c r="I37" s="6" t="str">
        <f ca="1">IF(OFFSET(Mod6BezKom,0,15,1,1)&lt;&gt;"",OFFSET(Mod6BezKom,0,15,1,1),"")</f>
        <v/>
      </c>
      <c r="J37" s="6" t="str">
        <f ca="1">IF(OFFSET(Mod7BezKom,0,15,1,1)&lt;&gt;"",OFFSET(Mod7BezKom,0,15,1,1),"")</f>
        <v/>
      </c>
      <c r="K37" s="6" t="str">
        <f ca="1">IF(OFFSET(Mod8BezKom,0,15,1,1)&lt;&gt;"",OFFSET(Mod8BezKom,0,15,1,1),"")</f>
        <v/>
      </c>
      <c r="L37" s="6" t="str">
        <f ca="1">IF(OFFSET(Mod9BezKom,0,15,1,1)&lt;&gt;"",OFFSET(Mod9BezKom,0,15,1,1),"")</f>
        <v/>
      </c>
    </row>
    <row r="38" spans="3:12" x14ac:dyDescent="0.2">
      <c r="C38" s="6" t="str">
        <f ca="1">IF(OFFSET(ModEinZugBezKom,0,16,1,1)&lt;&gt;"",OFFSET(ModEinZugBezKom,0,16,1,1),"")</f>
        <v/>
      </c>
      <c r="D38" s="6" t="str">
        <f ca="1">IF(OFFSET(Mod1BezKom,0,16,1,1)&lt;&gt;"",OFFSET(Mod1BezKom,0,16,1,1),"")</f>
        <v/>
      </c>
      <c r="E38" s="6" t="str">
        <f ca="1">IF(OFFSET(Mod2BezKom,0,16,1,1)&lt;&gt;"",OFFSET(Mod2BezKom,0,16,1,1),"")</f>
        <v/>
      </c>
      <c r="F38" s="6" t="str">
        <f ca="1">IF(OFFSET(Mod3BezKom,0,16,1,1)&lt;&gt;"",OFFSET(Mod3BezKom,0,16,1,1),"")</f>
        <v/>
      </c>
      <c r="G38" s="6" t="str">
        <f ca="1">IF(OFFSET(Mod4BezKom,0,16,1,1)&lt;&gt;"",OFFSET(Mod4BezKom,0,16,1,1),"")</f>
        <v/>
      </c>
      <c r="H38" s="6" t="str">
        <f ca="1">IF(OFFSET(Mod5BezKom,0,16,1,1)&lt;&gt;"",OFFSET(Mod5BezKom,0,16,1,1),"")</f>
        <v/>
      </c>
      <c r="I38" s="6" t="str">
        <f ca="1">IF(OFFSET(Mod6BezKom,0,16,1,1)&lt;&gt;"",OFFSET(Mod6BezKom,0,16,1,1),"")</f>
        <v/>
      </c>
      <c r="J38" s="6" t="str">
        <f ca="1">IF(OFFSET(Mod7BezKom,0,16,1,1)&lt;&gt;"",OFFSET(Mod7BezKom,0,16,1,1),"")</f>
        <v/>
      </c>
      <c r="K38" s="6" t="str">
        <f ca="1">IF(OFFSET(Mod8BezKom,0,16,1,1)&lt;&gt;"",OFFSET(Mod8BezKom,0,16,1,1),"")</f>
        <v/>
      </c>
      <c r="L38" s="6" t="str">
        <f ca="1">IF(OFFSET(Mod9BezKom,0,16,1,1)&lt;&gt;"",OFFSET(Mod9BezKom,0,16,1,1),"")</f>
        <v/>
      </c>
    </row>
    <row r="39" spans="3:12" x14ac:dyDescent="0.2">
      <c r="C39" s="6" t="str">
        <f ca="1">IF(OFFSET(ModEinZugBezKom,0,17,1,1)&lt;&gt;"",OFFSET(ModEinZugBezKom,0,17,1,1),"")</f>
        <v/>
      </c>
      <c r="D39" s="6" t="str">
        <f ca="1">IF(OFFSET(Mod1BezKom,0,17,1,1)&lt;&gt;"",OFFSET(Mod1BezKom,0,17,1,1),"")</f>
        <v/>
      </c>
      <c r="E39" s="6" t="str">
        <f ca="1">IF(OFFSET(Mod2BezKom,0,17,1,1)&lt;&gt;"",OFFSET(Mod2BezKom,0,17,1,1),"")</f>
        <v/>
      </c>
      <c r="F39" s="6" t="str">
        <f ca="1">IF(OFFSET(Mod3BezKom,0,17,1,1)&lt;&gt;"",OFFSET(Mod3BezKom,0,17,1,1),"")</f>
        <v/>
      </c>
      <c r="G39" s="6" t="str">
        <f ca="1">IF(OFFSET(Mod4BezKom,0,17,1,1)&lt;&gt;"",OFFSET(Mod4BezKom,0,17,1,1),"")</f>
        <v/>
      </c>
      <c r="H39" s="6" t="str">
        <f ca="1">IF(OFFSET(Mod5BezKom,0,17,1,1)&lt;&gt;"",OFFSET(Mod5BezKom,0,17,1,1),"")</f>
        <v/>
      </c>
      <c r="I39" s="6" t="str">
        <f ca="1">IF(OFFSET(Mod6BezKom,0,17,1,1)&lt;&gt;"",OFFSET(Mod6BezKom,0,17,1,1),"")</f>
        <v/>
      </c>
      <c r="J39" s="6" t="str">
        <f ca="1">IF(OFFSET(Mod7BezKom,0,17,1,1)&lt;&gt;"",OFFSET(Mod7BezKom,0,17,1,1),"")</f>
        <v/>
      </c>
      <c r="K39" s="6" t="str">
        <f ca="1">IF(OFFSET(Mod8BezKom,0,17,1,1)&lt;&gt;"",OFFSET(Mod8BezKom,0,17,1,1),"")</f>
        <v/>
      </c>
      <c r="L39" s="6" t="str">
        <f ca="1">IF(OFFSET(Mod9BezKom,0,17,1,1)&lt;&gt;"",OFFSET(Mod9BezKom,0,17,1,1),"")</f>
        <v/>
      </c>
    </row>
    <row r="40" spans="3:12" x14ac:dyDescent="0.2">
      <c r="C40" s="6" t="str">
        <f ca="1">IF(OFFSET(ModEinZugBezKom,0,18,1,1)&lt;&gt;"",OFFSET(ModEinZugBezKom,0,18,1,1),"")</f>
        <v/>
      </c>
      <c r="D40" s="6" t="str">
        <f ca="1">IF(OFFSET(Mod1BezKom,0,18,1,1)&lt;&gt;"",OFFSET(Mod1BezKom,0,18,1,1),"")</f>
        <v/>
      </c>
      <c r="E40" s="6" t="str">
        <f ca="1">IF(OFFSET(Mod2BezKom,0,18,1,1)&lt;&gt;"",OFFSET(Mod2BezKom,0,18,1,1),"")</f>
        <v/>
      </c>
      <c r="F40" s="6" t="str">
        <f ca="1">IF(OFFSET(Mod3BezKom,0,18,1,1)&lt;&gt;"",OFFSET(Mod3BezKom,0,18,1,1),"")</f>
        <v/>
      </c>
      <c r="G40" s="6" t="str">
        <f ca="1">IF(OFFSET(Mod4BezKom,0,18,1,1)&lt;&gt;"",OFFSET(Mod4BezKom,0,18,1,1),"")</f>
        <v/>
      </c>
      <c r="H40" s="6" t="str">
        <f ca="1">IF(OFFSET(Mod5BezKom,0,18,1,1)&lt;&gt;"",OFFSET(Mod5BezKom,0,18,1,1),"")</f>
        <v/>
      </c>
      <c r="I40" s="6" t="str">
        <f ca="1">IF(OFFSET(Mod6BezKom,0,18,1,1)&lt;&gt;"",OFFSET(Mod6BezKom,0,18,1,1),"")</f>
        <v/>
      </c>
      <c r="J40" s="6" t="str">
        <f ca="1">IF(OFFSET(Mod7BezKom,0,18,1,1)&lt;&gt;"",OFFSET(Mod7BezKom,0,18,1,1),"")</f>
        <v/>
      </c>
      <c r="K40" s="6" t="str">
        <f ca="1">IF(OFFSET(Mod8BezKom,0,18,1,1)&lt;&gt;"",OFFSET(Mod8BezKom,0,18,1,1),"")</f>
        <v/>
      </c>
      <c r="L40" s="6" t="str">
        <f ca="1">IF(OFFSET(Mod9BezKom,0,18,1,1)&lt;&gt;"",OFFSET(Mod9BezKom,0,18,1,1),"")</f>
        <v/>
      </c>
    </row>
    <row r="41" spans="3:12" x14ac:dyDescent="0.2">
      <c r="C41" s="6" t="str">
        <f ca="1">IF(OFFSET(ModEinZugBezKom,0,19,1,1)&lt;&gt;"",OFFSET(ModEinZugBezKom,0,19,1,1),"")</f>
        <v/>
      </c>
      <c r="D41" s="6" t="str">
        <f ca="1">IF(OFFSET(Mod1BezKom,0,19,1,1)&lt;&gt;"",OFFSET(Mod1BezKom,0,19,1,1),"")</f>
        <v/>
      </c>
      <c r="E41" s="6" t="str">
        <f ca="1">IF(OFFSET(Mod2BezKom,0,19,1,1)&lt;&gt;"",OFFSET(Mod2BezKom,0,19,1,1),"")</f>
        <v/>
      </c>
      <c r="F41" s="6" t="str">
        <f ca="1">IF(OFFSET(Mod3BezKom,0,19,1,1)&lt;&gt;"",OFFSET(Mod3BezKom,0,19,1,1),"")</f>
        <v/>
      </c>
      <c r="G41" s="6" t="str">
        <f ca="1">IF(OFFSET(Mod4BezKom,0,19,1,1)&lt;&gt;"",OFFSET(Mod4BezKom,0,19,1,1),"")</f>
        <v/>
      </c>
      <c r="H41" s="6" t="str">
        <f ca="1">IF(OFFSET(Mod5BezKom,0,19,1,1)&lt;&gt;"",OFFSET(Mod5BezKom,0,19,1,1),"")</f>
        <v/>
      </c>
      <c r="I41" s="6" t="str">
        <f ca="1">IF(OFFSET(Mod6BezKom,0,19,1,1)&lt;&gt;"",OFFSET(Mod6BezKom,0,19,1,1),"")</f>
        <v/>
      </c>
      <c r="J41" s="6" t="str">
        <f ca="1">IF(OFFSET(Mod7BezKom,0,19,1,1)&lt;&gt;"",OFFSET(Mod7BezKom,0,19,1,1),"")</f>
        <v/>
      </c>
      <c r="K41" s="6" t="str">
        <f ca="1">IF(OFFSET(Mod8BezKom,0,19,1,1)&lt;&gt;"",OFFSET(Mod8BezKom,0,19,1,1),"")</f>
        <v/>
      </c>
      <c r="L41" s="6" t="str">
        <f ca="1">IF(OFFSET(Mod9BezKom,0,19,1,1)&lt;&gt;"",OFFSET(Mod9BezKom,0,19,1,1),"")</f>
        <v/>
      </c>
    </row>
    <row r="42" spans="3:12" x14ac:dyDescent="0.2">
      <c r="C42" s="6" t="str">
        <f ca="1">IF(OFFSET(ModEinZugBezKom,0,20,1,1)&lt;&gt;"",OFFSET(ModEinZugBezKom,0,20,1,1),"")</f>
        <v/>
      </c>
      <c r="D42" s="6" t="str">
        <f ca="1">IF(OFFSET(Mod1BezKom,0,20,1,1)&lt;&gt;"",OFFSET(Mod1BezKom,0,20,1,1),"")</f>
        <v/>
      </c>
      <c r="E42" s="6" t="str">
        <f ca="1">IF(OFFSET(Mod2BezKom,0,20,1,1)&lt;&gt;"",OFFSET(Mod2BezKom,0,20,1,1),"")</f>
        <v/>
      </c>
      <c r="F42" s="6" t="str">
        <f ca="1">IF(OFFSET(Mod3BezKom,0,20,1,1)&lt;&gt;"",OFFSET(Mod3BezKom,0,20,1,1),"")</f>
        <v/>
      </c>
      <c r="G42" s="6" t="str">
        <f ca="1">IF(OFFSET(Mod4BezKom,0,20,1,1)&lt;&gt;"",OFFSET(Mod4BezKom,0,20,1,1),"")</f>
        <v/>
      </c>
      <c r="H42" s="6" t="str">
        <f ca="1">IF(OFFSET(Mod5BezKom,0,20,1,1)&lt;&gt;"",OFFSET(Mod5BezKom,0,20,1,1),"")</f>
        <v/>
      </c>
      <c r="I42" s="6" t="str">
        <f ca="1">IF(OFFSET(Mod6BezKom,0,20,1,1)&lt;&gt;"",OFFSET(Mod6BezKom,0,20,1,1),"")</f>
        <v/>
      </c>
      <c r="J42" s="6" t="str">
        <f ca="1">IF(OFFSET(Mod7BezKom,0,20,1,1)&lt;&gt;"",OFFSET(Mod7BezKom,0,20,1,1),"")</f>
        <v/>
      </c>
      <c r="K42" s="6" t="str">
        <f ca="1">IF(OFFSET(Mod8BezKom,0,20,1,1)&lt;&gt;"",OFFSET(Mod8BezKom,0,20,1,1),"")</f>
        <v/>
      </c>
      <c r="L42" s="6" t="str">
        <f ca="1">IF(OFFSET(Mod9BezKom,0,20,1,1)&lt;&gt;"",OFFSET(Mod9BezKom,0,20,1,1),"")</f>
        <v/>
      </c>
    </row>
    <row r="43" spans="3:12" x14ac:dyDescent="0.2">
      <c r="C43" s="6" t="str">
        <f ca="1">IF(OFFSET(ModEinZugBezKom,0,21,1,1)&lt;&gt;"",OFFSET(ModEinZugBezKom,0,21,1,1),"")</f>
        <v/>
      </c>
      <c r="D43" s="6" t="str">
        <f ca="1">IF(OFFSET(Mod1BezKom,0,21,1,1)&lt;&gt;"",OFFSET(Mod1BezKom,0,21,1,1),"")</f>
        <v/>
      </c>
      <c r="E43" s="6" t="str">
        <f ca="1">IF(OFFSET(Mod2BezKom,0,21,1,1)&lt;&gt;"",OFFSET(Mod2BezKom,0,21,1,1),"")</f>
        <v/>
      </c>
      <c r="F43" s="6" t="str">
        <f ca="1">IF(OFFSET(Mod3BezKom,0,21,1,1)&lt;&gt;"",OFFSET(Mod3BezKom,0,21,1,1),"")</f>
        <v/>
      </c>
      <c r="G43" s="6" t="str">
        <f ca="1">IF(OFFSET(Mod4BezKom,0,21,1,1)&lt;&gt;"",OFFSET(Mod4BezKom,0,21,1,1),"")</f>
        <v/>
      </c>
      <c r="H43" s="6" t="str">
        <f ca="1">IF(OFFSET(Mod5BezKom,0,21,1,1)&lt;&gt;"",OFFSET(Mod5BezKom,0,21,1,1),"")</f>
        <v/>
      </c>
      <c r="I43" s="6" t="str">
        <f ca="1">IF(OFFSET(Mod6BezKom,0,21,1,1)&lt;&gt;"",OFFSET(Mod6BezKom,0,21,1,1),"")</f>
        <v/>
      </c>
      <c r="J43" s="6" t="str">
        <f ca="1">IF(OFFSET(Mod7BezKom,0,21,1,1)&lt;&gt;"",OFFSET(Mod7BezKom,0,21,1,1),"")</f>
        <v/>
      </c>
      <c r="K43" s="6" t="str">
        <f ca="1">IF(OFFSET(Mod8BezKom,0,21,1,1)&lt;&gt;"",OFFSET(Mod8BezKom,0,21,1,1),"")</f>
        <v/>
      </c>
      <c r="L43" s="6" t="str">
        <f ca="1">IF(OFFSET(Mod9BezKom,0,21,1,1)&lt;&gt;"",OFFSET(Mod9BezKom,0,21,1,1),"")</f>
        <v/>
      </c>
    </row>
    <row r="44" spans="3:12" x14ac:dyDescent="0.2">
      <c r="C44" s="6" t="str">
        <f ca="1">IF(OFFSET(ModEinZugBezKom,0,22,1,1)&lt;&gt;"",OFFSET(ModEinZugBezKom,0,22,1,1),"")</f>
        <v/>
      </c>
      <c r="D44" s="6" t="str">
        <f ca="1">IF(OFFSET(Mod1BezKom,0,22,1,1)&lt;&gt;"",OFFSET(Mod1BezKom,0,22,1,1),"")</f>
        <v/>
      </c>
      <c r="E44" s="6" t="str">
        <f ca="1">IF(OFFSET(Mod2BezKom,0,22,1,1)&lt;&gt;"",OFFSET(Mod2BezKom,0,22,1,1),"")</f>
        <v/>
      </c>
      <c r="F44" s="6" t="str">
        <f ca="1">IF(OFFSET(Mod3BezKom,0,22,1,1)&lt;&gt;"",OFFSET(Mod3BezKom,0,22,1,1),"")</f>
        <v/>
      </c>
      <c r="G44" s="6" t="str">
        <f ca="1">IF(OFFSET(Mod4BezKom,0,22,1,1)&lt;&gt;"",OFFSET(Mod4BezKom,0,22,1,1),"")</f>
        <v/>
      </c>
      <c r="H44" s="6" t="str">
        <f ca="1">IF(OFFSET(Mod5BezKom,0,22,1,1)&lt;&gt;"",OFFSET(Mod5BezKom,0,22,1,1),"")</f>
        <v/>
      </c>
      <c r="I44" s="6" t="str">
        <f ca="1">IF(OFFSET(Mod6BezKom,0,22,1,1)&lt;&gt;"",OFFSET(Mod6BezKom,0,22,1,1),"")</f>
        <v/>
      </c>
      <c r="J44" s="6" t="str">
        <f ca="1">IF(OFFSET(Mod7BezKom,0,22,1,1)&lt;&gt;"",OFFSET(Mod7BezKom,0,22,1,1),"")</f>
        <v/>
      </c>
      <c r="K44" s="6" t="str">
        <f ca="1">IF(OFFSET(Mod8BezKom,0,22,1,1)&lt;&gt;"",OFFSET(Mod8BezKom,0,22,1,1),"")</f>
        <v/>
      </c>
      <c r="L44" s="6" t="str">
        <f ca="1">IF(OFFSET(Mod9BezKom,0,22,1,1)&lt;&gt;"",OFFSET(Mod9BezKom,0,22,1,1),"")</f>
        <v/>
      </c>
    </row>
    <row r="45" spans="3:12" x14ac:dyDescent="0.2">
      <c r="C45" s="6" t="str">
        <f ca="1">IF(OFFSET(ModEinZugBezKom,0,23,1,1)&lt;&gt;"",OFFSET(ModEinZugBezKom,0,23,1,1),"")</f>
        <v/>
      </c>
      <c r="D45" s="6" t="str">
        <f ca="1">IF(OFFSET(Mod1BezKom,0,23,1,1)&lt;&gt;"",OFFSET(Mod1BezKom,0,23,1,1),"")</f>
        <v/>
      </c>
      <c r="E45" s="6" t="str">
        <f ca="1">IF(OFFSET(Mod2BezKom,0,23,1,1)&lt;&gt;"",OFFSET(Mod2BezKom,0,23,1,1),"")</f>
        <v/>
      </c>
      <c r="F45" s="6" t="str">
        <f ca="1">IF(OFFSET(Mod3BezKom,0,23,1,1)&lt;&gt;"",OFFSET(Mod3BezKom,0,23,1,1),"")</f>
        <v/>
      </c>
      <c r="G45" s="6" t="str">
        <f ca="1">IF(OFFSET(Mod4BezKom,0,23,1,1)&lt;&gt;"",OFFSET(Mod4BezKom,0,23,1,1),"")</f>
        <v/>
      </c>
      <c r="H45" s="6" t="str">
        <f ca="1">IF(OFFSET(Mod5BezKom,0,23,1,1)&lt;&gt;"",OFFSET(Mod5BezKom,0,23,1,1),"")</f>
        <v/>
      </c>
      <c r="I45" s="6" t="str">
        <f ca="1">IF(OFFSET(Mod6BezKom,0,23,1,1)&lt;&gt;"",OFFSET(Mod6BezKom,0,23,1,1),"")</f>
        <v/>
      </c>
      <c r="J45" s="6" t="str">
        <f ca="1">IF(OFFSET(Mod7BezKom,0,23,1,1)&lt;&gt;"",OFFSET(Mod7BezKom,0,23,1,1),"")</f>
        <v/>
      </c>
      <c r="K45" s="6" t="str">
        <f ca="1">IF(OFFSET(Mod8BezKom,0,23,1,1)&lt;&gt;"",OFFSET(Mod8BezKom,0,23,1,1),"")</f>
        <v/>
      </c>
      <c r="L45" s="6" t="str">
        <f ca="1">IF(OFFSET(Mod9BezKom,0,23,1,1)&lt;&gt;"",OFFSET(Mod9BezKom,0,23,1,1),"")</f>
        <v/>
      </c>
    </row>
    <row r="46" spans="3:12" x14ac:dyDescent="0.2">
      <c r="C46" s="6" t="str">
        <f ca="1">IF(OFFSET(ModEinZugBezKom,0,24,1,1)&lt;&gt;"",OFFSET(ModEinZugBezKom,0,24,1,1),"")</f>
        <v/>
      </c>
      <c r="D46" s="6" t="str">
        <f ca="1">IF(OFFSET(Mod1BezKom,0,24,1,1)&lt;&gt;"",OFFSET(Mod1BezKom,0,24,1,1),"")</f>
        <v/>
      </c>
      <c r="E46" s="6" t="str">
        <f ca="1">IF(OFFSET(Mod2BezKom,0,24,1,1)&lt;&gt;"",OFFSET(Mod2BezKom,0,24,1,1),"")</f>
        <v/>
      </c>
      <c r="F46" s="6" t="str">
        <f ca="1">IF(OFFSET(Mod3BezKom,0,24,1,1)&lt;&gt;"",OFFSET(Mod3BezKom,0,24,1,1),"")</f>
        <v/>
      </c>
      <c r="G46" s="6" t="str">
        <f ca="1">IF(OFFSET(Mod4BezKom,0,24,1,1)&lt;&gt;"",OFFSET(Mod4BezKom,0,24,1,1),"")</f>
        <v/>
      </c>
      <c r="H46" s="6" t="str">
        <f ca="1">IF(OFFSET(Mod5BezKom,0,24,1,1)&lt;&gt;"",OFFSET(Mod5BezKom,0,24,1,1),"")</f>
        <v/>
      </c>
      <c r="I46" s="6" t="str">
        <f ca="1">IF(OFFSET(Mod6BezKom,0,24,1,1)&lt;&gt;"",OFFSET(Mod6BezKom,0,24,1,1),"")</f>
        <v/>
      </c>
      <c r="J46" s="6" t="str">
        <f ca="1">IF(OFFSET(Mod7BezKom,0,24,1,1)&lt;&gt;"",OFFSET(Mod7BezKom,0,24,1,1),"")</f>
        <v/>
      </c>
      <c r="K46" s="6" t="str">
        <f ca="1">IF(OFFSET(Mod8BezKom,0,24,1,1)&lt;&gt;"",OFFSET(Mod8BezKom,0,24,1,1),"")</f>
        <v/>
      </c>
      <c r="L46" s="6" t="str">
        <f ca="1">IF(OFFSET(Mod9BezKom,0,24,1,1)&lt;&gt;"",OFFSET(Mod9BezKom,0,24,1,1),"")</f>
        <v/>
      </c>
    </row>
    <row r="47" spans="3:12" x14ac:dyDescent="0.2">
      <c r="C47" s="6" t="str">
        <f ca="1">IF(OFFSET(ModEinZugBezKom,0,25,1,1)&lt;&gt;"",OFFSET(ModEinZugBezKom,0,25,1,1),"")</f>
        <v/>
      </c>
      <c r="D47" s="6" t="str">
        <f ca="1">IF(OFFSET(Mod1BezKom,0,25,1,1)&lt;&gt;"",OFFSET(Mod1BezKom,0,25,1,1),"")</f>
        <v/>
      </c>
      <c r="E47" s="6" t="str">
        <f ca="1">IF(OFFSET(Mod2BezKom,0,25,1,1)&lt;&gt;"",OFFSET(Mod2BezKom,0,25,1,1),"")</f>
        <v/>
      </c>
      <c r="F47" s="6" t="str">
        <f ca="1">IF(OFFSET(Mod3BezKom,0,25,1,1)&lt;&gt;"",OFFSET(Mod3BezKom,0,25,1,1),"")</f>
        <v/>
      </c>
      <c r="G47" s="6" t="str">
        <f ca="1">IF(OFFSET(Mod4BezKom,0,25,1,1)&lt;&gt;"",OFFSET(Mod4BezKom,0,25,1,1),"")</f>
        <v/>
      </c>
      <c r="H47" s="6" t="str">
        <f ca="1">IF(OFFSET(Mod5BezKom,0,25,1,1)&lt;&gt;"",OFFSET(Mod5BezKom,0,25,1,1),"")</f>
        <v/>
      </c>
      <c r="I47" s="6" t="str">
        <f ca="1">IF(OFFSET(Mod6BezKom,0,25,1,1)&lt;&gt;"",OFFSET(Mod6BezKom,0,25,1,1),"")</f>
        <v/>
      </c>
      <c r="J47" s="6" t="str">
        <f ca="1">IF(OFFSET(Mod7BezKom,0,25,1,1)&lt;&gt;"",OFFSET(Mod7BezKom,0,25,1,1),"")</f>
        <v/>
      </c>
      <c r="K47" s="6" t="str">
        <f ca="1">IF(OFFSET(Mod8BezKom,0,25,1,1)&lt;&gt;"",OFFSET(Mod8BezKom,0,25,1,1),"")</f>
        <v/>
      </c>
      <c r="L47" s="6" t="str">
        <f ca="1">IF(OFFSET(Mod9BezKom,0,25,1,1)&lt;&gt;"",OFFSET(Mod9BezKom,0,25,1,1),"")</f>
        <v/>
      </c>
    </row>
    <row r="48" spans="3:12" x14ac:dyDescent="0.2">
      <c r="C48" s="6" t="str">
        <f ca="1">IF(OFFSET(ModEinZugBezKom,0,26,1,1)&lt;&gt;"",OFFSET(ModEinZugBezKom,0,26,1,1),"")</f>
        <v/>
      </c>
      <c r="D48" s="6" t="str">
        <f ca="1">IF(OFFSET(Mod1BezKom,0,26,1,1)&lt;&gt;"",OFFSET(Mod1BezKom,0,26,1,1),"")</f>
        <v/>
      </c>
      <c r="E48" s="6" t="str">
        <f ca="1">IF(OFFSET(Mod2BezKom,0,26,1,1)&lt;&gt;"",OFFSET(Mod2BezKom,0,26,1,1),"")</f>
        <v/>
      </c>
      <c r="F48" s="6" t="str">
        <f ca="1">IF(OFFSET(Mod3BezKom,0,26,1,1)&lt;&gt;"",OFFSET(Mod3BezKom,0,26,1,1),"")</f>
        <v/>
      </c>
      <c r="G48" s="6" t="str">
        <f ca="1">IF(OFFSET(Mod4BezKom,0,26,1,1)&lt;&gt;"",OFFSET(Mod4BezKom,0,26,1,1),"")</f>
        <v/>
      </c>
      <c r="H48" s="6" t="str">
        <f ca="1">IF(OFFSET(Mod5BezKom,0,26,1,1)&lt;&gt;"",OFFSET(Mod5BezKom,0,26,1,1),"")</f>
        <v/>
      </c>
      <c r="I48" s="6" t="str">
        <f ca="1">IF(OFFSET(Mod6BezKom,0,26,1,1)&lt;&gt;"",OFFSET(Mod6BezKom,0,26,1,1),"")</f>
        <v/>
      </c>
      <c r="J48" s="6" t="str">
        <f ca="1">IF(OFFSET(Mod7BezKom,0,26,1,1)&lt;&gt;"",OFFSET(Mod7BezKom,0,26,1,1),"")</f>
        <v/>
      </c>
      <c r="K48" s="6" t="str">
        <f ca="1">IF(OFFSET(Mod8BezKom,0,26,1,1)&lt;&gt;"",OFFSET(Mod8BezKom,0,26,1,1),"")</f>
        <v/>
      </c>
      <c r="L48" s="6" t="str">
        <f ca="1">IF(OFFSET(Mod9BezKom,0,26,1,1)&lt;&gt;"",OFFSET(Mod9BezKom,0,26,1,1),"")</f>
        <v/>
      </c>
    </row>
    <row r="49" spans="1:12" x14ac:dyDescent="0.2">
      <c r="C49" s="6" t="str">
        <f ca="1">IF(OFFSET(ModEinZugBezKom,0,27,1,1)&lt;&gt;"",OFFSET(ModEinZugBezKom,0,27,1,1),"")</f>
        <v/>
      </c>
      <c r="D49" s="6" t="str">
        <f ca="1">IF(OFFSET(Mod1BezKom,0,27,1,1)&lt;&gt;"",OFFSET(Mod1BezKom,0,27,1,1),"")</f>
        <v/>
      </c>
      <c r="E49" s="6" t="str">
        <f ca="1">IF(OFFSET(Mod2BezKom,0,27,1,1)&lt;&gt;"",OFFSET(Mod2BezKom,0,27,1,1),"")</f>
        <v/>
      </c>
      <c r="F49" s="6" t="str">
        <f ca="1">IF(OFFSET(Mod3BezKom,0,27,1,1)&lt;&gt;"",OFFSET(Mod3BezKom,0,27,1,1),"")</f>
        <v/>
      </c>
      <c r="G49" s="6" t="str">
        <f ca="1">IF(OFFSET(Mod4BezKom,0,27,1,1)&lt;&gt;"",OFFSET(Mod4BezKom,0,27,1,1),"")</f>
        <v/>
      </c>
      <c r="H49" s="6" t="str">
        <f ca="1">IF(OFFSET(Mod5BezKom,0,27,1,1)&lt;&gt;"",OFFSET(Mod5BezKom,0,27,1,1),"")</f>
        <v/>
      </c>
      <c r="I49" s="6" t="str">
        <f ca="1">IF(OFFSET(Mod6BezKom,0,27,1,1)&lt;&gt;"",OFFSET(Mod6BezKom,0,27,1,1),"")</f>
        <v/>
      </c>
      <c r="J49" s="6" t="str">
        <f ca="1">IF(OFFSET(Mod7BezKom,0,27,1,1)&lt;&gt;"",OFFSET(Mod7BezKom,0,27,1,1),"")</f>
        <v/>
      </c>
      <c r="K49" s="6" t="str">
        <f ca="1">IF(OFFSET(Mod8BezKom,0,27,1,1)&lt;&gt;"",OFFSET(Mod8BezKom,0,27,1,1),"")</f>
        <v/>
      </c>
      <c r="L49" s="6" t="str">
        <f ca="1">IF(OFFSET(Mod9BezKom,0,27,1,1)&lt;&gt;"",OFFSET(Mod9BezKom,0,27,1,1),"")</f>
        <v/>
      </c>
    </row>
    <row r="50" spans="1:12" x14ac:dyDescent="0.2">
      <c r="C50" s="6" t="str">
        <f ca="1">IF(OFFSET(ModEinZugBezKom,0,28,1,1)&lt;&gt;"",OFFSET(ModEinZugBezKom,0,28,1,1),"")</f>
        <v/>
      </c>
      <c r="D50" s="6" t="str">
        <f ca="1">IF(OFFSET(Mod1BezKom,0,28,1,1)&lt;&gt;"",OFFSET(Mod1BezKom,0,28,1,1),"")</f>
        <v/>
      </c>
      <c r="E50" s="6" t="str">
        <f ca="1">IF(OFFSET(Mod2BezKom,0,28,1,1)&lt;&gt;"",OFFSET(Mod2BezKom,0,28,1,1),"")</f>
        <v/>
      </c>
      <c r="F50" s="6" t="str">
        <f ca="1">IF(OFFSET(Mod3BezKom,0,28,1,1)&lt;&gt;"",OFFSET(Mod3BezKom,0,28,1,1),"")</f>
        <v/>
      </c>
      <c r="G50" s="6" t="str">
        <f ca="1">IF(OFFSET(Mod4BezKom,0,28,1,1)&lt;&gt;"",OFFSET(Mod4BezKom,0,28,1,1),"")</f>
        <v/>
      </c>
      <c r="H50" s="6" t="str">
        <f ca="1">IF(OFFSET(Mod5BezKom,0,28,1,1)&lt;&gt;"",OFFSET(Mod5BezKom,0,28,1,1),"")</f>
        <v/>
      </c>
      <c r="I50" s="6" t="str">
        <f ca="1">IF(OFFSET(Mod6BezKom,0,28,1,1)&lt;&gt;"",OFFSET(Mod6BezKom,0,28,1,1),"")</f>
        <v/>
      </c>
      <c r="J50" s="6" t="str">
        <f ca="1">IF(OFFSET(Mod7BezKom,0,28,1,1)&lt;&gt;"",OFFSET(Mod7BezKom,0,28,1,1),"")</f>
        <v/>
      </c>
      <c r="K50" s="6" t="str">
        <f ca="1">IF(OFFSET(Mod8BezKom,0,28,1,1)&lt;&gt;"",OFFSET(Mod8BezKom,0,28,1,1),"")</f>
        <v/>
      </c>
      <c r="L50" s="6" t="str">
        <f ca="1">IF(OFFSET(Mod9BezKom,0,28,1,1)&lt;&gt;"",OFFSET(Mod9BezKom,0,28,1,1),"")</f>
        <v/>
      </c>
    </row>
    <row r="51" spans="1:12" ht="13.5" thickBot="1" x14ac:dyDescent="0.25">
      <c r="C51" s="7" t="str">
        <f ca="1">IF(OFFSET(ModEinZugBezKom,0,29,1,1)&lt;&gt;"",OFFSET(ModEinZugBezKom,0,29,1,1),"")</f>
        <v/>
      </c>
      <c r="D51" s="7" t="str">
        <f ca="1">IF(OFFSET(Mod1BezKom,0,29,1,1)&lt;&gt;"",OFFSET(Mod1BezKom,0,29,1,1),"")</f>
        <v/>
      </c>
      <c r="E51" s="7" t="str">
        <f ca="1">IF(OFFSET(Mod2BezKom,0,29,1,1)&lt;&gt;"",OFFSET(Mod2BezKom,0,29,1,1),"")</f>
        <v/>
      </c>
      <c r="F51" s="7" t="str">
        <f ca="1">IF(OFFSET(Mod3BezKom,0,29,1,1)&lt;&gt;"",OFFSET(Mod3BezKom,0,29,1,1),"")</f>
        <v/>
      </c>
      <c r="G51" s="7" t="str">
        <f ca="1">IF(OFFSET(Mod4BezKom,0,29,1,1)&lt;&gt;"",OFFSET(Mod4BezKom,0,29,1,1),"")</f>
        <v/>
      </c>
      <c r="H51" s="7" t="str">
        <f ca="1">IF(OFFSET(Mod5BezKom,0,29,1,1)&lt;&gt;"",OFFSET(Mod5BezKom,0,29,1,1),"")</f>
        <v/>
      </c>
      <c r="I51" s="7" t="str">
        <f ca="1">IF(OFFSET(Mod6BezKom,0,29,1,1)&lt;&gt;"",OFFSET(Mod6BezKom,0,29,1,1),"")</f>
        <v/>
      </c>
      <c r="J51" s="7" t="str">
        <f ca="1">IF(OFFSET(Mod7BezKom,0,29,1,1)&lt;&gt;"",OFFSET(Mod7BezKom,0,29,1,1),"")</f>
        <v/>
      </c>
      <c r="K51" s="7" t="str">
        <f ca="1">IF(OFFSET(Mod8BezKom,0,29,1,1)&lt;&gt;"",OFFSET(Mod8BezKom,0,29,1,1),"")</f>
        <v/>
      </c>
      <c r="L51" s="7" t="str">
        <f ca="1">IF(OFFSET(Mod9BezKom,0,29,1,1)&lt;&gt;"",OFFSET(Mod9BezKom,0,29,1,1),"")</f>
        <v/>
      </c>
    </row>
    <row r="53" spans="1:12" ht="13.5" thickBot="1" x14ac:dyDescent="0.25">
      <c r="A53" s="3" t="s">
        <v>23</v>
      </c>
    </row>
    <row r="54" spans="1:12" x14ac:dyDescent="0.2">
      <c r="B54" s="5" t="str">
        <f>IF(FeldEbMod1Bez="","Modernisierungsschritte wurden nicht an den Energiebericht übergeben",FeldEbMod1Bez)</f>
        <v>MP1</v>
      </c>
    </row>
    <row r="55" spans="1:12" x14ac:dyDescent="0.2">
      <c r="B55" s="6" t="str">
        <f ca="1">OFFSET(FeldEbMod1Bez,0,1,1,1)</f>
        <v>MP2</v>
      </c>
    </row>
    <row r="56" spans="1:12" x14ac:dyDescent="0.2">
      <c r="B56" s="6" t="str">
        <f ca="1">OFFSET(FeldEbMod1Bez,0,2,1,1)</f>
        <v/>
      </c>
    </row>
    <row r="57" spans="1:12" x14ac:dyDescent="0.2">
      <c r="B57" s="6" t="str">
        <f ca="1">OFFSET(FeldEbMod1Bez,0,3,1,1)</f>
        <v/>
      </c>
    </row>
    <row r="58" spans="1:12" x14ac:dyDescent="0.2">
      <c r="B58" s="6" t="str">
        <f ca="1">OFFSET(FeldEbMod1Bez,0,4,1,1)</f>
        <v/>
      </c>
    </row>
    <row r="59" spans="1:12" x14ac:dyDescent="0.2">
      <c r="B59" s="6" t="str">
        <f ca="1">OFFSET(FeldEbMod1Bez,0,5,1,1)</f>
        <v/>
      </c>
    </row>
    <row r="60" spans="1:12" x14ac:dyDescent="0.2">
      <c r="B60" s="6" t="str">
        <f ca="1">OFFSET(FeldEbMod1Bez,0,6,1,1)</f>
        <v/>
      </c>
    </row>
    <row r="61" spans="1:12" x14ac:dyDescent="0.2">
      <c r="B61" s="6" t="str">
        <f ca="1">OFFSET(FeldEbMod1Bez,0,7,1,1)</f>
        <v/>
      </c>
    </row>
    <row r="62" spans="1:12" ht="13.5" thickBot="1" x14ac:dyDescent="0.25">
      <c r="B62" s="7" t="str">
        <f ca="1">OFFSET(FeldEbMod1Bez,0,8,1,1)</f>
        <v/>
      </c>
    </row>
    <row r="64" spans="1:12" x14ac:dyDescent="0.2">
      <c r="A64" s="3" t="s">
        <v>28</v>
      </c>
    </row>
    <row r="65" spans="2:8" x14ac:dyDescent="0.2">
      <c r="B65" s="35" t="s">
        <v>29</v>
      </c>
      <c r="C65" s="36"/>
      <c r="D65" s="36" t="s">
        <v>30</v>
      </c>
      <c r="E65" s="37">
        <f ca="1">SUM(OFFSET(ModBestandETbez,3,0,1,1):OFFSET(ModBestandETbez,3,15,1,1))</f>
        <v>46538</v>
      </c>
      <c r="F65" s="36" t="s">
        <v>31</v>
      </c>
      <c r="G65" s="36"/>
      <c r="H65" s="38"/>
    </row>
    <row r="66" spans="2:8" x14ac:dyDescent="0.2">
      <c r="B66" s="39"/>
      <c r="C66" s="40"/>
      <c r="D66" s="40" t="s">
        <v>32</v>
      </c>
      <c r="E66" s="41">
        <f ca="1">SUM(OFFSET(ModBestandETbez,1,0,1,1):OFFSET(ModBestandETbez,1,15,1,1))</f>
        <v>163867.57500000001</v>
      </c>
      <c r="F66" s="40" t="s">
        <v>33</v>
      </c>
      <c r="G66" s="40"/>
      <c r="H66" s="42"/>
    </row>
    <row r="67" spans="2:8" x14ac:dyDescent="0.2">
      <c r="B67" s="16"/>
      <c r="H67" s="43"/>
    </row>
    <row r="68" spans="2:8" ht="51" x14ac:dyDescent="0.2">
      <c r="B68" s="44" t="s">
        <v>34</v>
      </c>
      <c r="C68" s="44" t="s">
        <v>35</v>
      </c>
      <c r="D68" s="44" t="s">
        <v>37</v>
      </c>
      <c r="E68" s="44" t="s">
        <v>154</v>
      </c>
      <c r="F68" s="44" t="s">
        <v>44</v>
      </c>
      <c r="G68" s="44" t="s">
        <v>41</v>
      </c>
      <c r="H68" s="44" t="s">
        <v>43</v>
      </c>
    </row>
    <row r="69" spans="2:8" x14ac:dyDescent="0.2">
      <c r="B69" s="45"/>
      <c r="C69" s="46" t="s">
        <v>36</v>
      </c>
      <c r="D69" s="46" t="s">
        <v>38</v>
      </c>
      <c r="E69" s="46" t="s">
        <v>40</v>
      </c>
      <c r="F69" s="46" t="s">
        <v>36</v>
      </c>
      <c r="G69" s="46" t="s">
        <v>42</v>
      </c>
      <c r="H69" s="47"/>
    </row>
    <row r="70" spans="2:8" x14ac:dyDescent="0.2">
      <c r="B70" s="48" t="str">
        <f>IF(ModEinZugBez&lt;&gt;"",ModEinZugBez,"")</f>
        <v>MP3</v>
      </c>
      <c r="C70" s="49">
        <f ca="1">SUM(OFFSET(ModEinZugETbez,3,0,1,1):OFFSET(ModEinZugETbez,3,15,1,1))</f>
        <v>2064</v>
      </c>
      <c r="D70" s="49">
        <f ca="1">OFFSET(ModEinZugBez,8,0,1,1)</f>
        <v>44451</v>
      </c>
      <c r="E70" s="49">
        <f ca="1">$E$66-SUM(OFFSET(ModEinZugETbez,1,0,1,1):OFFSET(ModEinZugETbez,1,15,1,1))</f>
        <v>140794.13700000002</v>
      </c>
      <c r="F70" s="49">
        <f ca="1">$E$65-SUM(OFFSET(ModEinZugETbez,3,0,1,1):OFFSET(ModEinZugETbez,3,15,1,1))</f>
        <v>44474</v>
      </c>
      <c r="G70" s="49">
        <f ca="1">IF($E$65=0,0,100*F70/$E$65)</f>
        <v>95.564914693368863</v>
      </c>
      <c r="H70" s="50" t="str">
        <f ca="1">IF(F70=0,CONCATENATE(D70," : 0"),CONCATENATE(ROUND(D70/F70,0)," : 1"))</f>
        <v>1 : 1</v>
      </c>
    </row>
    <row r="71" spans="2:8" x14ac:dyDescent="0.2">
      <c r="B71" s="48" t="str">
        <f>IF(Mod1Bez&lt;&gt;"",Mod1Bez,"")</f>
        <v>MP1</v>
      </c>
      <c r="C71" s="49">
        <f ca="1">SUM(OFFSET(Mod1ETbez,3,0,1,1):OFFSET(Mod1ETbez,3,15,1,1))</f>
        <v>11810</v>
      </c>
      <c r="D71" s="49">
        <f ca="1">OFFSET(Mod1Bez,4,0,1,1)</f>
        <v>9273</v>
      </c>
      <c r="E71" s="49">
        <f ca="1">$E$66-SUM(OFFSET(Mod1ETbez,1,0,1,1):OFFSET(Mod1ETbez,1,15,1,1))</f>
        <v>29566.38400000002</v>
      </c>
      <c r="F71" s="49">
        <f ca="1">$E$65-SUM(OFFSET(Mod1ETbez,3,0,1,1):OFFSET(Mod1ETbez,3,15,1,1))</f>
        <v>34728</v>
      </c>
      <c r="G71" s="49">
        <f t="shared" ref="G71:G79" ca="1" si="0">IF($E$65=0,0,100*F71/$E$65)</f>
        <v>74.622888822037908</v>
      </c>
      <c r="H71" s="50" t="str">
        <f t="shared" ref="H71:H79" ca="1" si="1">IF(F71=0,CONCATENATE(D71," : 0"),CONCATENATE(ROUND(D71/F71,0)," : 1"))</f>
        <v>0 : 1</v>
      </c>
    </row>
    <row r="72" spans="2:8" x14ac:dyDescent="0.2">
      <c r="B72" s="48" t="str">
        <f>IF(Mod2Bez&lt;&gt;"",Mod2Bez,"")</f>
        <v>MP2</v>
      </c>
      <c r="C72" s="49">
        <f ca="1">SUM(OFFSET(Mod2ETbez,3,0,1,1):OFFSET(Mod2ETbez,3,15,1,1))</f>
        <v>3410</v>
      </c>
      <c r="D72" s="49">
        <f ca="1">OFFSET(Mod2Bez,4,0,1,1)</f>
        <v>4452</v>
      </c>
      <c r="E72" s="49">
        <f ca="1">$E$66-SUM(OFFSET(Mod2ETbez,1,0,1,1):OFFSET(Mod2ETbez,1,15,1,1))</f>
        <v>125481.91900000001</v>
      </c>
      <c r="F72" s="49">
        <f ca="1">$E$65-SUM(OFFSET(Mod2ETbez,3,0,1,1):OFFSET(Mod2ETbez,3,15,1,1))</f>
        <v>43128</v>
      </c>
      <c r="G72" s="49">
        <f t="shared" ca="1" si="0"/>
        <v>92.672654604839053</v>
      </c>
      <c r="H72" s="50" t="str">
        <f t="shared" ca="1" si="1"/>
        <v>0 : 1</v>
      </c>
    </row>
    <row r="73" spans="2:8" x14ac:dyDescent="0.2">
      <c r="B73" s="48" t="str">
        <f>IF(Mod3Bez&lt;&gt;"",Mod3Bez,"")</f>
        <v/>
      </c>
      <c r="C73" s="49">
        <f ca="1">SUM(OFFSET(Mod3ETbez,3,0,1,1):OFFSET(Mod3ETbez,3,15,1,1))</f>
        <v>0</v>
      </c>
      <c r="D73" s="49">
        <f ca="1">OFFSET(Mod3Bez,4,0,1,1)</f>
        <v>0</v>
      </c>
      <c r="E73" s="49">
        <f ca="1">$E$66-SUM(OFFSET(Mod3ETbez,1,0,1,1):OFFSET(Mod3ETbez,1,15,1,1))</f>
        <v>163867.57500000001</v>
      </c>
      <c r="F73" s="49">
        <f ca="1">$E$65-SUM(OFFSET(Mod3ETbez,3,0,1,1):OFFSET(Mod3ETbez,3,15,1,1))</f>
        <v>46538</v>
      </c>
      <c r="G73" s="49">
        <f t="shared" ca="1" si="0"/>
        <v>100</v>
      </c>
      <c r="H73" s="50" t="str">
        <f t="shared" ca="1" si="1"/>
        <v>0 : 1</v>
      </c>
    </row>
    <row r="74" spans="2:8" x14ac:dyDescent="0.2">
      <c r="B74" s="48" t="str">
        <f>IF(Mod4Bez&lt;&gt;"",Mod4Bez,"")</f>
        <v/>
      </c>
      <c r="C74" s="49">
        <f ca="1">SUM(OFFSET(Mod4ETbez,3,0,1,1):OFFSET(Mod4ETbez,3,15,1,1))</f>
        <v>0</v>
      </c>
      <c r="D74" s="49">
        <f ca="1">OFFSET(Mod4Bez,4,0,1,1)</f>
        <v>0</v>
      </c>
      <c r="E74" s="49">
        <f ca="1">$E$66-SUM(OFFSET(Mod4ETbez,1,0,1,1):OFFSET(Mod4ETbez,1,15,1,1))</f>
        <v>163867.57500000001</v>
      </c>
      <c r="F74" s="49">
        <f ca="1">$E$65-SUM(OFFSET(Mod4ETbez,3,0,1,1):OFFSET(Mod4ETbez,3,15,1,1))</f>
        <v>46538</v>
      </c>
      <c r="G74" s="49">
        <f t="shared" ca="1" si="0"/>
        <v>100</v>
      </c>
      <c r="H74" s="50" t="str">
        <f t="shared" ca="1" si="1"/>
        <v>0 : 1</v>
      </c>
    </row>
    <row r="75" spans="2:8" x14ac:dyDescent="0.2">
      <c r="B75" s="48" t="str">
        <f>IF(Mod5Bez&lt;&gt;"",Mod5Bez,"")</f>
        <v/>
      </c>
      <c r="C75" s="49">
        <f ca="1">SUM(OFFSET(Mod5ETbez,3,0,1,1):OFFSET(Mod5ETbez,3,15,1,1))</f>
        <v>0</v>
      </c>
      <c r="D75" s="49">
        <f ca="1">OFFSET(Mod5Bez,4,0,1,1)</f>
        <v>0</v>
      </c>
      <c r="E75" s="49">
        <f ca="1">$E$66-SUM(OFFSET(Mod5ETbez,1,0,1,1):OFFSET(Mod5ETbez,1,15,1,1))</f>
        <v>163867.57500000001</v>
      </c>
      <c r="F75" s="49">
        <f ca="1">$E$65-SUM(OFFSET(Mod5ETbez,3,0,1,1):OFFSET(Mod5ETbez,3,15,1,1))</f>
        <v>46538</v>
      </c>
      <c r="G75" s="49">
        <f t="shared" ca="1" si="0"/>
        <v>100</v>
      </c>
      <c r="H75" s="50" t="str">
        <f t="shared" ca="1" si="1"/>
        <v>0 : 1</v>
      </c>
    </row>
    <row r="76" spans="2:8" x14ac:dyDescent="0.2">
      <c r="B76" s="48" t="str">
        <f>IF(Mod6Bez&lt;&gt;"",Mod6Bez,"")</f>
        <v/>
      </c>
      <c r="C76" s="49">
        <f ca="1">SUM(OFFSET(Mod6ETbez,3,0,1,1):OFFSET(Mod6ETbez,3,15,1,1))</f>
        <v>0</v>
      </c>
      <c r="D76" s="49">
        <f ca="1">OFFSET(Mod6Bez,4,0,1,1)</f>
        <v>0</v>
      </c>
      <c r="E76" s="49">
        <f ca="1">$E$66-SUM(OFFSET(Mod6ETbez,1,0,1,1):OFFSET(Mod6ETbez,1,15,1,1))</f>
        <v>163867.57500000001</v>
      </c>
      <c r="F76" s="49">
        <f ca="1">$E$65-SUM(OFFSET(Mod6ETbez,3,0,1,1):OFFSET(Mod6ETbez,3,15,1,1))</f>
        <v>46538</v>
      </c>
      <c r="G76" s="49">
        <f t="shared" ca="1" si="0"/>
        <v>100</v>
      </c>
      <c r="H76" s="50" t="str">
        <f t="shared" ca="1" si="1"/>
        <v>0 : 1</v>
      </c>
    </row>
    <row r="77" spans="2:8" x14ac:dyDescent="0.2">
      <c r="B77" s="48" t="str">
        <f>IF(Mod7Bez&lt;&gt;"",Mod7Bez,"")</f>
        <v/>
      </c>
      <c r="C77" s="49">
        <f ca="1">SUM(OFFSET(Mod7ETbez,3,0,1,1):OFFSET(Mod7ETbez,3,15,1,1))</f>
        <v>0</v>
      </c>
      <c r="D77" s="49">
        <f ca="1">OFFSET(Mod7Bez,4,0,1,1)</f>
        <v>0</v>
      </c>
      <c r="E77" s="49">
        <f ca="1">$E$66-SUM(OFFSET(Mod7ETbez,1,0,1,1):OFFSET(Mod7ETbez,1,15,1,1))</f>
        <v>163867.57500000001</v>
      </c>
      <c r="F77" s="49">
        <f ca="1">$E$65-SUM(OFFSET(Mod7ETbez,3,0,1,1):OFFSET(Mod7ETbez,3,15,1,1))</f>
        <v>46538</v>
      </c>
      <c r="G77" s="49">
        <f t="shared" ca="1" si="0"/>
        <v>100</v>
      </c>
      <c r="H77" s="50" t="str">
        <f t="shared" ca="1" si="1"/>
        <v>0 : 1</v>
      </c>
    </row>
    <row r="78" spans="2:8" x14ac:dyDescent="0.2">
      <c r="B78" s="48" t="str">
        <f>IF(Mod8Bez&lt;&gt;"",Mod8Bez,"")</f>
        <v/>
      </c>
      <c r="C78" s="49">
        <f ca="1">SUM(OFFSET(Mod8ETbez,3,0,1,1):OFFSET(Mod8ETbez,3,15,1,1))</f>
        <v>0</v>
      </c>
      <c r="D78" s="49">
        <f ca="1">OFFSET(Mod8Bez,4,0,1,1)</f>
        <v>0</v>
      </c>
      <c r="E78" s="49">
        <f ca="1">$E$66-SUM(OFFSET(Mod8ETbez,1,0,1,1):OFFSET(Mod8ETbez,1,15,1,1))</f>
        <v>163867.57500000001</v>
      </c>
      <c r="F78" s="49">
        <f ca="1">$E$65-SUM(OFFSET(Mod8ETbez,3,0,1,1):OFFSET(Mod8ETbez,3,15,1,1))</f>
        <v>46538</v>
      </c>
      <c r="G78" s="49">
        <f t="shared" ca="1" si="0"/>
        <v>100</v>
      </c>
      <c r="H78" s="50" t="str">
        <f t="shared" ca="1" si="1"/>
        <v>0 : 1</v>
      </c>
    </row>
    <row r="79" spans="2:8" x14ac:dyDescent="0.2">
      <c r="B79" s="48" t="str">
        <f>IF(Mod9Bez&lt;&gt;"",Mod9Bez,"")</f>
        <v/>
      </c>
      <c r="C79" s="49">
        <f ca="1">SUM(OFFSET(Mod9ETbez,3,0,1,1):OFFSET(Mod9ETbez,3,15,1,1))</f>
        <v>0</v>
      </c>
      <c r="D79" s="49">
        <f ca="1">OFFSET(Mod9Bez,4,0,1,1)</f>
        <v>0</v>
      </c>
      <c r="E79" s="49">
        <f ca="1">$E$66-SUM(OFFSET(Mod9ETbez,1,0,1,1):OFFSET(Mod9ETbez,1,15,1,1))</f>
        <v>163867.57500000001</v>
      </c>
      <c r="F79" s="49">
        <f ca="1">$E$65-SUM(OFFSET(Mod9ETbez,3,0,1,1):OFFSET(Mod9ETbez,3,15,1,1))</f>
        <v>46538</v>
      </c>
      <c r="G79" s="49">
        <f t="shared" ca="1" si="0"/>
        <v>100</v>
      </c>
      <c r="H79" s="50" t="str">
        <f t="shared" ca="1" si="1"/>
        <v>0 : 1</v>
      </c>
    </row>
    <row r="81" spans="1:8" x14ac:dyDescent="0.2">
      <c r="A81" s="3" t="s">
        <v>288</v>
      </c>
    </row>
    <row r="82" spans="1:8" x14ac:dyDescent="0.2">
      <c r="B82" s="35" t="s">
        <v>29</v>
      </c>
      <c r="C82" s="36"/>
      <c r="D82" s="36" t="s">
        <v>30</v>
      </c>
      <c r="E82" s="37">
        <f ca="1">SUM(OFFSET(ModBestandETbez,3,0,1,1):OFFSET(ModBestandETbez,3,15,1,1))</f>
        <v>46538</v>
      </c>
      <c r="F82" s="36" t="s">
        <v>31</v>
      </c>
      <c r="G82" s="36"/>
      <c r="H82" s="38"/>
    </row>
    <row r="83" spans="1:8" x14ac:dyDescent="0.2">
      <c r="B83" s="39"/>
      <c r="C83" s="40"/>
      <c r="D83" s="40" t="s">
        <v>32</v>
      </c>
      <c r="E83" s="41">
        <f ca="1">SUM(OFFSET(ModBestandETbez,1,0,1,1):OFFSET(ModBestandETbez,1,15,1,1))</f>
        <v>163867.57500000001</v>
      </c>
      <c r="F83" s="40" t="s">
        <v>33</v>
      </c>
      <c r="G83" s="40"/>
      <c r="H83" s="42"/>
    </row>
    <row r="84" spans="1:8" x14ac:dyDescent="0.2">
      <c r="B84" s="16"/>
      <c r="H84" s="43"/>
    </row>
    <row r="85" spans="1:8" ht="63.75" x14ac:dyDescent="0.2">
      <c r="B85" s="44" t="s">
        <v>34</v>
      </c>
      <c r="C85" s="44" t="s">
        <v>35</v>
      </c>
      <c r="D85" s="44" t="s">
        <v>290</v>
      </c>
      <c r="E85" s="44" t="s">
        <v>154</v>
      </c>
      <c r="F85" s="44" t="s">
        <v>44</v>
      </c>
      <c r="G85" s="44" t="s">
        <v>41</v>
      </c>
      <c r="H85" s="44" t="s">
        <v>43</v>
      </c>
    </row>
    <row r="86" spans="1:8" x14ac:dyDescent="0.2">
      <c r="B86" s="45"/>
      <c r="C86" s="46" t="s">
        <v>36</v>
      </c>
      <c r="D86" s="46" t="s">
        <v>38</v>
      </c>
      <c r="E86" s="46" t="s">
        <v>40</v>
      </c>
      <c r="F86" s="46" t="s">
        <v>36</v>
      </c>
      <c r="G86" s="46" t="s">
        <v>42</v>
      </c>
      <c r="H86" s="47"/>
    </row>
    <row r="87" spans="1:8" x14ac:dyDescent="0.2">
      <c r="B87" s="48" t="str">
        <f>IF(ModEinZugBez&lt;&gt;"",ModEinZugBez,"")</f>
        <v>MP3</v>
      </c>
      <c r="C87" s="49">
        <f ca="1">SUM(OFFSET(ModEinZugETbez,3,0,1,1):OFFSET(ModEinZugETbez,3,15,1,1))</f>
        <v>2064</v>
      </c>
      <c r="D87" s="49">
        <f ca="1">OFFSET(ModEinZugBez,8,0,1,1)-OFFSET(ModEinZugBez,9,0,1,1)</f>
        <v>22451</v>
      </c>
      <c r="E87" s="49">
        <f ca="1">$E$66-SUM(OFFSET(ModEinZugETbez,1,0,1,1):OFFSET(ModEinZugETbez,1,15,1,1))</f>
        <v>140794.13700000002</v>
      </c>
      <c r="F87" s="49">
        <f ca="1">$E$65-SUM(OFFSET(ModEinZugETbez,3,0,1,1):OFFSET(ModEinZugETbez,3,15,1,1))</f>
        <v>44474</v>
      </c>
      <c r="G87" s="49">
        <f ca="1">IF($E$65=0,0,100*F87/$E$65)</f>
        <v>95.564914693368863</v>
      </c>
      <c r="H87" s="50" t="str">
        <f ca="1">IF(F87=0,CONCATENATE(D87," : 0"),CONCATENATE(ROUND(D87/F87,0)," : 1"))</f>
        <v>1 : 1</v>
      </c>
    </row>
    <row r="88" spans="1:8" x14ac:dyDescent="0.2">
      <c r="B88" s="65"/>
      <c r="C88" s="83"/>
      <c r="D88" s="83"/>
      <c r="E88" s="83"/>
      <c r="F88" s="83"/>
      <c r="G88" s="83"/>
      <c r="H88" s="84"/>
    </row>
    <row r="89" spans="1:8" x14ac:dyDescent="0.2">
      <c r="A89" s="3" t="s">
        <v>289</v>
      </c>
    </row>
    <row r="90" spans="1:8" x14ac:dyDescent="0.2">
      <c r="B90" s="35" t="s">
        <v>29</v>
      </c>
      <c r="C90" s="36"/>
      <c r="D90" s="36" t="s">
        <v>30</v>
      </c>
      <c r="E90" s="37">
        <f ca="1">SUM(OFFSET(ModBestandETbez,3,0,1,1):OFFSET(ModBestandETbez,3,15,1,1))</f>
        <v>46538</v>
      </c>
      <c r="F90" s="36" t="s">
        <v>31</v>
      </c>
      <c r="G90" s="36"/>
      <c r="H90" s="38"/>
    </row>
    <row r="91" spans="1:8" x14ac:dyDescent="0.2">
      <c r="B91" s="39"/>
      <c r="C91" s="40"/>
      <c r="D91" s="40" t="s">
        <v>32</v>
      </c>
      <c r="E91" s="41">
        <f ca="1">SUM(OFFSET(ModBestandETbez,1,0,1,1):OFFSET(ModBestandETbez,1,15,1,1))</f>
        <v>163867.57500000001</v>
      </c>
      <c r="F91" s="40" t="s">
        <v>33</v>
      </c>
      <c r="G91" s="40"/>
      <c r="H91" s="42"/>
    </row>
    <row r="92" spans="1:8" x14ac:dyDescent="0.2">
      <c r="B92" s="16"/>
      <c r="H92" s="43"/>
    </row>
    <row r="93" spans="1:8" ht="63.75" x14ac:dyDescent="0.2">
      <c r="B93" s="44" t="s">
        <v>34</v>
      </c>
      <c r="C93" s="44" t="s">
        <v>35</v>
      </c>
      <c r="D93" s="44" t="s">
        <v>290</v>
      </c>
      <c r="E93" s="44" t="s">
        <v>154</v>
      </c>
      <c r="F93" s="44" t="s">
        <v>44</v>
      </c>
      <c r="G93" s="44" t="s">
        <v>41</v>
      </c>
      <c r="H93" s="44" t="s">
        <v>43</v>
      </c>
    </row>
    <row r="94" spans="1:8" x14ac:dyDescent="0.2">
      <c r="B94" s="45"/>
      <c r="C94" s="46" t="s">
        <v>36</v>
      </c>
      <c r="D94" s="46" t="s">
        <v>38</v>
      </c>
      <c r="E94" s="46" t="s">
        <v>40</v>
      </c>
      <c r="F94" s="46" t="s">
        <v>36</v>
      </c>
      <c r="G94" s="46" t="s">
        <v>42</v>
      </c>
      <c r="H94" s="47"/>
    </row>
    <row r="95" spans="1:8" x14ac:dyDescent="0.2">
      <c r="B95" s="48" t="str">
        <f>IF(Mod1Bez&lt;&gt;"",Mod1Bez,"")</f>
        <v>MP1</v>
      </c>
      <c r="C95" s="49">
        <f ca="1">SUM(OFFSET(Mod1ETbez,3,0,1,1):OFFSET(Mod1ETbez,3,15,1,1))</f>
        <v>11810</v>
      </c>
      <c r="D95" s="49">
        <f ca="1">OFFSET(Mod1Bez,4,0,1,1)-OFFSET(Mod1Bez,5,0,1,1)</f>
        <v>-727</v>
      </c>
      <c r="E95" s="49">
        <f ca="1">$E$66-SUM(OFFSET(Mod1ETbez,1,0,1,1):OFFSET(Mod1ETbez,1,15,1,1))</f>
        <v>29566.38400000002</v>
      </c>
      <c r="F95" s="49">
        <f ca="1">$E$65-SUM(OFFSET(Mod1ETbez,3,0,1,1):OFFSET(Mod1ETbez,3,15,1,1))</f>
        <v>34728</v>
      </c>
      <c r="G95" s="49">
        <f t="shared" ref="G95" ca="1" si="2">IF($E$65=0,0,100*F95/$E$65)</f>
        <v>74.622888822037908</v>
      </c>
      <c r="H95" s="50" t="str">
        <f t="shared" ref="H95" ca="1" si="3">IF(F95=0,CONCATENATE(D95," : 0"),CONCATENATE(ROUND(D95/F95,0)," : 1"))</f>
        <v>0 : 1</v>
      </c>
    </row>
    <row r="96" spans="1:8" x14ac:dyDescent="0.2">
      <c r="B96" s="65"/>
      <c r="C96" s="83"/>
      <c r="D96" s="83"/>
      <c r="E96" s="83"/>
      <c r="F96" s="83"/>
      <c r="G96" s="83"/>
      <c r="H96" s="84"/>
    </row>
    <row r="97" spans="1:23" x14ac:dyDescent="0.2">
      <c r="A97" s="3" t="s">
        <v>164</v>
      </c>
    </row>
    <row r="98" spans="1:23" ht="51" x14ac:dyDescent="0.2">
      <c r="B98" s="10"/>
      <c r="R98" s="44" t="s">
        <v>35</v>
      </c>
      <c r="S98" s="44" t="s">
        <v>37</v>
      </c>
      <c r="T98" s="44" t="s">
        <v>39</v>
      </c>
      <c r="U98" s="44" t="s">
        <v>44</v>
      </c>
      <c r="V98" s="44" t="s">
        <v>41</v>
      </c>
      <c r="W98" s="44" t="s">
        <v>43</v>
      </c>
    </row>
    <row r="99" spans="1:23" x14ac:dyDescent="0.2">
      <c r="R99" s="46" t="s">
        <v>36</v>
      </c>
      <c r="S99" s="46" t="s">
        <v>38</v>
      </c>
      <c r="T99" s="46" t="s">
        <v>40</v>
      </c>
      <c r="U99" s="46" t="s">
        <v>36</v>
      </c>
      <c r="V99" s="46" t="s">
        <v>42</v>
      </c>
      <c r="W99" s="47"/>
    </row>
    <row r="100" spans="1:23" x14ac:dyDescent="0.2">
      <c r="R100" s="49">
        <f ca="1">SUM(OFFSET(ModEinZugETbez,3,0,1,1):OFFSET(ModEinZugETbez,3,15,1,1))</f>
        <v>2064</v>
      </c>
      <c r="S100" s="49">
        <f ca="1">OFFSET(ModEinZugBez,8,0,1,1)</f>
        <v>44451</v>
      </c>
      <c r="T100" s="49">
        <f ca="1">$E$66-SUM(OFFSET(ModEinZugETbez,1,0,1,1):OFFSET(ModEinZugETbez,1,15,1,1))</f>
        <v>140794.13700000002</v>
      </c>
      <c r="U100" s="49">
        <f ca="1">$E$65-SUM(OFFSET(ModEinZugETbez,3,0,1,1):OFFSET(ModEinZugETbez,3,15,1,1))</f>
        <v>44474</v>
      </c>
      <c r="V100" s="49">
        <f ca="1">IF($E$65=0,0,100*U100/$E$65)</f>
        <v>95.564914693368863</v>
      </c>
      <c r="W100" s="50" t="str">
        <f ca="1">IF(U100=0,CONCATENATE(S100," : 0"),CONCATENATE(ROUND(S100/U100,0)," : 1"))</f>
        <v>1 : 1</v>
      </c>
    </row>
    <row r="102" spans="1:23" x14ac:dyDescent="0.2">
      <c r="A102" s="3" t="s">
        <v>45</v>
      </c>
    </row>
    <row r="103" spans="1:23" ht="51" x14ac:dyDescent="0.2">
      <c r="B103" s="44" t="s">
        <v>34</v>
      </c>
      <c r="C103" s="44" t="s">
        <v>35</v>
      </c>
      <c r="D103" s="44" t="s">
        <v>37</v>
      </c>
      <c r="E103" s="44" t="s">
        <v>39</v>
      </c>
      <c r="F103" s="44" t="s">
        <v>44</v>
      </c>
      <c r="G103" s="44" t="s">
        <v>41</v>
      </c>
      <c r="H103" s="44" t="s">
        <v>43</v>
      </c>
    </row>
    <row r="104" spans="1:23" x14ac:dyDescent="0.2">
      <c r="B104" s="51"/>
      <c r="C104" s="52" t="s">
        <v>36</v>
      </c>
      <c r="D104" s="52" t="s">
        <v>38</v>
      </c>
      <c r="E104" s="52" t="s">
        <v>40</v>
      </c>
      <c r="F104" s="52" t="s">
        <v>36</v>
      </c>
      <c r="G104" s="52" t="s">
        <v>42</v>
      </c>
      <c r="H104" s="53"/>
    </row>
    <row r="105" spans="1:23" x14ac:dyDescent="0.2">
      <c r="B105" s="48" t="str">
        <f>IF(Mod1Bez&lt;&gt;"",Mod1Bez,"")</f>
        <v>MP1</v>
      </c>
      <c r="C105" s="49">
        <f ca="1">SUM(OFFSET(Mod1ETbez,3,0,1,1):OFFSET(Mod1ETbez,3,15,1,1))</f>
        <v>11810</v>
      </c>
      <c r="D105" s="49">
        <f ca="1">OFFSET(Mod1Bez,4,0,1,1)</f>
        <v>9273</v>
      </c>
      <c r="E105" s="49">
        <f ca="1">$E$66-SUM(OFFSET(Mod1ETbez,1,0,1,1):OFFSET(Mod1ETbez,1,15,1,1))</f>
        <v>29566.38400000002</v>
      </c>
      <c r="F105" s="49">
        <f ca="1">$E$65-SUM(OFFSET(Mod1ETbez,3,0,1,1):OFFSET(Mod1ETbez,3,15,1,1))</f>
        <v>34728</v>
      </c>
      <c r="G105" s="49">
        <f ca="1">IF($E$65=0,0,100*F105/$E$65)</f>
        <v>74.622888822037908</v>
      </c>
      <c r="H105" s="50" t="str">
        <f ca="1">IF(F105=0,CONCATENATE(D105," : 0"),CONCATENATE(ROUND(D105/F105,0)," : 1"))</f>
        <v>0 : 1</v>
      </c>
    </row>
    <row r="106" spans="1:23" x14ac:dyDescent="0.2">
      <c r="B106" s="48" t="str">
        <f>IF(Mod2Bez&lt;&gt;"",Mod2Bez,"")</f>
        <v>MP2</v>
      </c>
      <c r="C106" s="49">
        <f ca="1">SUM(OFFSET(Mod2ETbez,3,0,1,1):OFFSET(Mod2ETbez,3,15,1,1))</f>
        <v>3410</v>
      </c>
      <c r="D106" s="49">
        <f ca="1">OFFSET(Mod2Bez,4,0,1,1)</f>
        <v>4452</v>
      </c>
      <c r="E106" s="49">
        <f ca="1">$E$66-SUM(OFFSET(Mod2ETbez,1,0,1,1):OFFSET(Mod2ETbez,1,15,1,1))</f>
        <v>125481.91900000001</v>
      </c>
      <c r="F106" s="49">
        <f ca="1">$E$65-SUM(OFFSET(Mod2ETbez,3,0,1,1):OFFSET(Mod2ETbez,3,15,1,1))</f>
        <v>43128</v>
      </c>
      <c r="G106" s="49">
        <f t="shared" ref="G106:G113" ca="1" si="4">IF($E$65=0,0,100*F106/$E$65)</f>
        <v>92.672654604839053</v>
      </c>
      <c r="H106" s="50" t="str">
        <f t="shared" ref="H106:H113" ca="1" si="5">IF(F106=0,CONCATENATE(D106," : 0"),CONCATENATE(ROUND(D106/F106,0)," : 1"))</f>
        <v>0 : 1</v>
      </c>
    </row>
    <row r="107" spans="1:23" x14ac:dyDescent="0.2">
      <c r="B107" s="48" t="str">
        <f>IF(Mod3Bez&lt;&gt;"",Mod3Bez,"")</f>
        <v/>
      </c>
      <c r="C107" s="49">
        <f ca="1">SUM(OFFSET(Mod3ETbez,3,0,1,1):OFFSET(Mod3ETbez,3,15,1,1))</f>
        <v>0</v>
      </c>
      <c r="D107" s="49">
        <f ca="1">OFFSET(Mod3Bez,4,0,1,1)</f>
        <v>0</v>
      </c>
      <c r="E107" s="49">
        <f ca="1">$E$66-SUM(OFFSET(Mod3ETbez,1,0,1,1):OFFSET(Mod3ETbez,1,15,1,1))</f>
        <v>163867.57500000001</v>
      </c>
      <c r="F107" s="49">
        <f ca="1">$E$65-SUM(OFFSET(Mod3ETbez,3,0,1,1):OFFSET(Mod3ETbez,3,15,1,1))</f>
        <v>46538</v>
      </c>
      <c r="G107" s="49">
        <f t="shared" ca="1" si="4"/>
        <v>100</v>
      </c>
      <c r="H107" s="50" t="str">
        <f t="shared" ca="1" si="5"/>
        <v>0 : 1</v>
      </c>
    </row>
    <row r="108" spans="1:23" x14ac:dyDescent="0.2">
      <c r="B108" s="48" t="str">
        <f>IF(Mod4Bez&lt;&gt;"",Mod4Bez,"")</f>
        <v/>
      </c>
      <c r="C108" s="49">
        <f ca="1">SUM(OFFSET(Mod4ETbez,3,0,1,1):OFFSET(Mod4ETbez,3,15,1,1))</f>
        <v>0</v>
      </c>
      <c r="D108" s="49">
        <f ca="1">OFFSET(Mod4Bez,4,0,1,1)</f>
        <v>0</v>
      </c>
      <c r="E108" s="49">
        <f ca="1">$E$66-SUM(OFFSET(Mod4ETbez,1,0,1,1):OFFSET(Mod4ETbez,1,15,1,1))</f>
        <v>163867.57500000001</v>
      </c>
      <c r="F108" s="49">
        <f ca="1">$E$65-SUM(OFFSET(Mod4ETbez,3,0,1,1):OFFSET(Mod4ETbez,3,15,1,1))</f>
        <v>46538</v>
      </c>
      <c r="G108" s="49">
        <f t="shared" ca="1" si="4"/>
        <v>100</v>
      </c>
      <c r="H108" s="50" t="str">
        <f t="shared" ca="1" si="5"/>
        <v>0 : 1</v>
      </c>
    </row>
    <row r="109" spans="1:23" x14ac:dyDescent="0.2">
      <c r="B109" s="48" t="str">
        <f>IF(Mod5Bez&lt;&gt;"",Mod5Bez,"")</f>
        <v/>
      </c>
      <c r="C109" s="49">
        <f ca="1">SUM(OFFSET(Mod5ETbez,3,0,1,1):OFFSET(Mod5ETbez,3,15,1,1))</f>
        <v>0</v>
      </c>
      <c r="D109" s="49">
        <f ca="1">OFFSET(Mod5Bez,4,0,1,1)</f>
        <v>0</v>
      </c>
      <c r="E109" s="49">
        <f ca="1">$E$66-SUM(OFFSET(Mod5ETbez,1,0,1,1):OFFSET(Mod5ETbez,1,15,1,1))</f>
        <v>163867.57500000001</v>
      </c>
      <c r="F109" s="49">
        <f ca="1">$E$65-SUM(OFFSET(Mod5ETbez,3,0,1,1):OFFSET(Mod5ETbez,3,15,1,1))</f>
        <v>46538</v>
      </c>
      <c r="G109" s="49">
        <f t="shared" ca="1" si="4"/>
        <v>100</v>
      </c>
      <c r="H109" s="50" t="str">
        <f t="shared" ca="1" si="5"/>
        <v>0 : 1</v>
      </c>
    </row>
    <row r="110" spans="1:23" x14ac:dyDescent="0.2">
      <c r="B110" s="48" t="str">
        <f>IF(Mod6Bez&lt;&gt;"",Mod6Bez,"")</f>
        <v/>
      </c>
      <c r="C110" s="49">
        <f ca="1">SUM(OFFSET(Mod6ETbez,3,0,1,1):OFFSET(Mod6ETbez,3,15,1,1))</f>
        <v>0</v>
      </c>
      <c r="D110" s="49">
        <f ca="1">OFFSET(Mod6Bez,4,0,1,1)</f>
        <v>0</v>
      </c>
      <c r="E110" s="49">
        <f ca="1">$E$66-SUM(OFFSET(Mod6ETbez,1,0,1,1):OFFSET(Mod6ETbez,1,15,1,1))</f>
        <v>163867.57500000001</v>
      </c>
      <c r="F110" s="49">
        <f ca="1">$E$65-SUM(OFFSET(Mod6ETbez,3,0,1,1):OFFSET(Mod6ETbez,3,15,1,1))</f>
        <v>46538</v>
      </c>
      <c r="G110" s="49">
        <f t="shared" ca="1" si="4"/>
        <v>100</v>
      </c>
      <c r="H110" s="50" t="str">
        <f t="shared" ca="1" si="5"/>
        <v>0 : 1</v>
      </c>
    </row>
    <row r="111" spans="1:23" x14ac:dyDescent="0.2">
      <c r="B111" s="48" t="str">
        <f>IF(Mod7Bez&lt;&gt;"",Mod7Bez,"")</f>
        <v/>
      </c>
      <c r="C111" s="49">
        <f ca="1">SUM(OFFSET(Mod7ETbez,3,0,1,1):OFFSET(Mod7ETbez,3,15,1,1))</f>
        <v>0</v>
      </c>
      <c r="D111" s="49">
        <f ca="1">OFFSET(Mod7Bez,4,0,1,1)</f>
        <v>0</v>
      </c>
      <c r="E111" s="49">
        <f ca="1">$E$66-SUM(OFFSET(Mod7ETbez,1,0,1,1):OFFSET(Mod7ETbez,1,15,1,1))</f>
        <v>163867.57500000001</v>
      </c>
      <c r="F111" s="49">
        <f ca="1">$E$65-SUM(OFFSET(Mod7ETbez,3,0,1,1):OFFSET(Mod7ETbez,3,15,1,1))</f>
        <v>46538</v>
      </c>
      <c r="G111" s="49">
        <f t="shared" ca="1" si="4"/>
        <v>100</v>
      </c>
      <c r="H111" s="50" t="str">
        <f t="shared" ca="1" si="5"/>
        <v>0 : 1</v>
      </c>
    </row>
    <row r="112" spans="1:23" x14ac:dyDescent="0.2">
      <c r="B112" s="48" t="str">
        <f>IF(Mod8Bez&lt;&gt;"",Mod8Bez,"")</f>
        <v/>
      </c>
      <c r="C112" s="49">
        <f ca="1">SUM(OFFSET(Mod8ETbez,3,0,1,1):OFFSET(Mod8ETbez,3,15,1,1))</f>
        <v>0</v>
      </c>
      <c r="D112" s="49">
        <f ca="1">OFFSET(Mod8Bez,4,0,1,1)</f>
        <v>0</v>
      </c>
      <c r="E112" s="49">
        <f ca="1">$E$66-SUM(OFFSET(Mod8ETbez,1,0,1,1):OFFSET(Mod8ETbez,1,15,1,1))</f>
        <v>163867.57500000001</v>
      </c>
      <c r="F112" s="49">
        <f ca="1">$E$65-SUM(OFFSET(Mod8ETbez,3,0,1,1):OFFSET(Mod8ETbez,3,15,1,1))</f>
        <v>46538</v>
      </c>
      <c r="G112" s="49">
        <f t="shared" ca="1" si="4"/>
        <v>100</v>
      </c>
      <c r="H112" s="50" t="str">
        <f t="shared" ca="1" si="5"/>
        <v>0 : 1</v>
      </c>
    </row>
    <row r="113" spans="1:22" x14ac:dyDescent="0.2">
      <c r="B113" s="48" t="str">
        <f>IF(Mod9Bez&lt;&gt;"",Mod9Bez,"")</f>
        <v/>
      </c>
      <c r="C113" s="49">
        <f ca="1">SUM(OFFSET(Mod9ETbez,3,0,1,1):OFFSET(Mod9ETbez,3,15,1,1))</f>
        <v>0</v>
      </c>
      <c r="D113" s="49">
        <f ca="1">OFFSET(Mod9Bez,4,0,1,1)</f>
        <v>0</v>
      </c>
      <c r="E113" s="49">
        <f ca="1">$E$66-SUM(OFFSET(Mod9ETbez,1,0,1,1):OFFSET(Mod9ETbez,1,15,1,1))</f>
        <v>163867.57500000001</v>
      </c>
      <c r="F113" s="49">
        <f ca="1">$E$65-SUM(OFFSET(Mod9ETbez,3,0,1,1):OFFSET(Mod9ETbez,3,15,1,1))</f>
        <v>46538</v>
      </c>
      <c r="G113" s="49">
        <f t="shared" ca="1" si="4"/>
        <v>100</v>
      </c>
      <c r="H113" s="50" t="str">
        <f t="shared" ca="1" si="5"/>
        <v>0 : 1</v>
      </c>
    </row>
    <row r="115" spans="1:22" x14ac:dyDescent="0.2">
      <c r="A115" s="3" t="s">
        <v>47</v>
      </c>
    </row>
    <row r="116" spans="1:22" ht="25.5" x14ac:dyDescent="0.2">
      <c r="B116" s="11"/>
      <c r="C116" s="12" t="str">
        <f>ModEtBez</f>
        <v>Strom</v>
      </c>
      <c r="D116" s="12" t="str">
        <f ca="1">IF(OFFSET(ModEtBez,0,1,1,1)&lt;&gt;"",OFFSET(ModEtBez,0,1,1,1),"")</f>
        <v>Erdgas</v>
      </c>
      <c r="E116" s="12" t="str">
        <f ca="1">IF(OFFSET(ModEtBez,0,2,1,1)&lt;&gt;"",OFFSET(ModEtBez,0,2,1,1),"")</f>
        <v/>
      </c>
      <c r="F116" s="12" t="str">
        <f ca="1">IF(OFFSET(ModEtBez,0,3,1,1)&lt;&gt;"",OFFSET(ModEtBez,0,3,1,1),"")</f>
        <v/>
      </c>
      <c r="G116" s="12" t="str">
        <f ca="1">IF(OFFSET(ModEtBez,0,14,1,1)&lt;&gt;"",OFFSET(ModEtBez,0,4,1,1),"")</f>
        <v/>
      </c>
      <c r="H116" s="12" t="str">
        <f ca="1">IF(OFFSET(ModEtBez,0,5,1,1)&lt;&gt;"",OFFSET(ModEtBez,0,5,1,1),"")</f>
        <v/>
      </c>
      <c r="I116" s="12" t="str">
        <f ca="1">IF(OFFSET(ModEtBez,0,6,1,1)&lt;&gt;"",OFFSET(ModEtBez,0,6,1,1),"")</f>
        <v/>
      </c>
      <c r="J116" s="12" t="str">
        <f ca="1">IF(OFFSET(ModEtBez,0,7,1,1)&lt;&gt;"",OFFSET(ModEtBez,0,7,1,1),"")</f>
        <v/>
      </c>
      <c r="K116" s="12" t="str">
        <f ca="1">IF(OFFSET(ModEtBez,0,8,1,1)&lt;&gt;"",OFFSET(ModEtBez,0,8,1,1),"")</f>
        <v/>
      </c>
      <c r="L116" s="13" t="str">
        <f ca="1">IF(OFFSET(ModEtBez,0,9,1,1)&lt;&gt;"",OFFSET(ModEtBez,0,9,1,1),"")</f>
        <v/>
      </c>
      <c r="T116" s="14"/>
      <c r="U116" s="15" t="s">
        <v>146</v>
      </c>
      <c r="V116" s="15" t="s">
        <v>155</v>
      </c>
    </row>
    <row r="117" spans="1:22" x14ac:dyDescent="0.2">
      <c r="B117" s="16" t="s">
        <v>24</v>
      </c>
      <c r="C117" s="4">
        <f ca="1">IF(C$131=ModBestandETbez,OFFSET(ModBestandETbez,1,0,1,1),IF(C$131=OFFSET(ModBestandETbez,0,1,1,1),OFFSET(ModBestandETbez,1,1,1,1),IF(C$131=OFFSET(ModBestandETbez,0,2,1,1),OFFSET(ModBestandETbez,1,2,1,1),IF(C$131=OFFSET(ModBestandETbez,0,3,1,1),OFFSET(ModBestandETbez,1,3,1,1),IF(C$131=OFFSET(ModBestandETbez,0,4,1,1),OFFSET(ModBestandETbez,1,4,1,1),IF(C$131=OFFSET(ModBestandETbez,0,5,1,1),OFFSET(ModBestandETbez,1,5,1,1),IF(C$131=OFFSET(ModBestandETbez,0,6,1,1),OFFSET(ModBestandETbez,1,6,1,1),IF(C$131=OFFSET(ModBestandETbez,0,7,1,1),OFFSET(ModBestandETbez,1,7,1,1),IF(C$131=OFFSET(ModBestandETbez,0,8,1,1),OFFSET(ModBestandETbez,1,8,1,1),IF(C$131=OFFSET(ModBestandETbez,0,9,1,1),OFFSET(ModBestandETbez,1,9,1,1),0))))))))))</f>
        <v>163867.57500000001</v>
      </c>
      <c r="D117" s="4">
        <f ca="1">IF(D$116=ModBestandETbez,OFFSET(ModBestandETbez,1,0,1,1),IF(D$116=OFFSET(ModBestandETbez,0,1,1,1),OFFSET(ModBestandETbez,1,1,1,1),IF(D$116=OFFSET(ModBestandETbez,0,2,1,1),OFFSET(ModBestandETbez,1,2,1,1),IF(D$116=OFFSET(ModBestandETbez,0,3,1,1),OFFSET(ModBestandETbez,1,3,1,1),IF(D$116=OFFSET(ModBestandETbez,0,4,1,1),OFFSET(ModBestandETbez,1,4,1,1),IF(D$116=OFFSET(ModBestandETbez,0,5,1,1),OFFSET(ModBestandETbez,1,5,1,1),IF(D$116=OFFSET(ModBestandETbez,0,6,1,1),OFFSET(ModBestandETbez,1,6,1,1),IF(D$116=OFFSET(ModBestandETbez,0,7,1,1),OFFSET(ModBestandETbez,1,7,1,1),IF(D$116=OFFSET(ModBestandETbez,0,8,1,1),OFFSET(ModBestandETbez,1,8,1,1),IF(D$116=OFFSET(ModBestandETbez,0,9,1,1),OFFSET(ModBestandETbez,1,9,1,1),0))))))))))</f>
        <v>0</v>
      </c>
      <c r="E117" s="4">
        <f t="shared" ref="E117:L117" ca="1" si="6">IF(E$116=ModBestandETbez,OFFSET(ModBestandETbez,1,0,1,1),IF(E$116=OFFSET(ModBestandETbez,0,1,1,1),OFFSET(ModBestandETbez,1,1,1,1),IF(E$116=OFFSET(ModBestandETbez,0,2,1,1),OFFSET(ModBestandETbez,1,2,1,1),IF(E$116=OFFSET(ModBestandETbez,0,3,1,1),OFFSET(ModBestandETbez,1,3,1,1),IF(E$116=OFFSET(ModBestandETbez,0,4,1,1),OFFSET(ModBestandETbez,1,4,1,1),IF(E$116=OFFSET(ModBestandETbez,0,5,1,1),OFFSET(ModBestandETbez,1,5,1,1),IF(E$116=OFFSET(ModBestandETbez,0,6,1,1),OFFSET(ModBestandETbez,1,6,1,1),IF(E$116=OFFSET(ModBestandETbez,0,7,1,1),OFFSET(ModBestandETbez,1,7,1,1),IF(E$116=OFFSET(ModBestandETbez,0,8,1,1),OFFSET(ModBestandETbez,1,8,1,1),IF(E$116=OFFSET(ModBestandETbez,0,9,1,1),OFFSET(ModBestandETbez,1,9,1,1),0))))))))))</f>
        <v>0</v>
      </c>
      <c r="F117" s="4">
        <f t="shared" ca="1" si="6"/>
        <v>0</v>
      </c>
      <c r="G117" s="4">
        <f t="shared" ca="1" si="6"/>
        <v>0</v>
      </c>
      <c r="H117" s="4">
        <f t="shared" ca="1" si="6"/>
        <v>0</v>
      </c>
      <c r="I117" s="4">
        <f t="shared" ca="1" si="6"/>
        <v>0</v>
      </c>
      <c r="J117" s="4">
        <f t="shared" ca="1" si="6"/>
        <v>0</v>
      </c>
      <c r="K117" s="4">
        <f t="shared" ca="1" si="6"/>
        <v>0</v>
      </c>
      <c r="L117" s="17">
        <f t="shared" ca="1" si="6"/>
        <v>0</v>
      </c>
      <c r="T117" s="14"/>
      <c r="U117" s="18" t="s">
        <v>40</v>
      </c>
      <c r="V117" s="18" t="s">
        <v>40</v>
      </c>
    </row>
    <row r="118" spans="1:22" x14ac:dyDescent="0.2">
      <c r="B118" s="16" t="str">
        <f>ModEinZugBez</f>
        <v>MP3</v>
      </c>
      <c r="C118" s="4">
        <f ca="1">IF(C$131=ModEinZugETbez,OFFSET(ModEinZugETbez,1,0,1,1),IF(C$131=OFFSET(ModEinZugETbez,0,1,1,1),OFFSET(ModEinZugETbez,1,1,1,1),IF(C$131=OFFSET(ModEinZugETbez,0,2,1,1),OFFSET(ModEinZugETbez,1,2,1,1),IF(C$131=OFFSET(ModEinZugETbez,0,3,1,1),OFFSET(ModEinZugETbez,1,3,1,1),IF(C$131=OFFSET(ModEinZugETbez,0,4,1,1),OFFSET(ModEinZugETbez,1,4,1,1),IF(C$131=OFFSET(ModEinZugETbez,0,5,1,1),OFFSET(ModEinZugETbez,1,5,1,1),IF(C$131=OFFSET(ModEinZugETbez,0,6,1,1),OFFSET(ModEinZugETbez,1,6,1,1),IF(C$131=OFFSET(ModEinZugETbez,0,7,1,1),OFFSET(ModEinZugETbez,1,7,1,1),IF(C$131=OFFSET(ModEinZugETbez,0,8,1,1),OFFSET(ModEinZugETbez,1,8,1,1),IF(C$131=OFFSET(ModEinZugETbez,0,9,1,1),OFFSET(ModEinZugETbez,1,9,1,1),0))))))))))</f>
        <v>519.01400000000001</v>
      </c>
      <c r="D118" s="4">
        <f t="shared" ref="D118:K118" ca="1" si="7">IF(D$116=ModEinZugETbez,OFFSET(ModEinZugETbez,1,0,1,1),IF(D$116=OFFSET(ModEinZugETbez,0,1,1,1),OFFSET(ModEinZugETbez,1,1,1,1),IF(D$116=OFFSET(ModEinZugETbez,0,2,1,1),OFFSET(ModEinZugETbez,1,2,1,1),IF(D$116=OFFSET(ModEinZugETbez,0,3,1,1),OFFSET(ModEinZugETbez,1,3,1,1),IF(D$116=OFFSET(ModEinZugETbez,0,4,1,1),OFFSET(ModEinZugETbez,1,4,1,1),IF(D$116=OFFSET(ModEinZugETbez,0,5,1,1),OFFSET(ModEinZugETbez,1,5,1,1),IF(D$116=OFFSET(ModEinZugETbez,0,6,1,1),OFFSET(ModEinZugETbez,1,6,1,1),IF(D$116=OFFSET(ModEinZugETbez,0,7,1,1),OFFSET(ModEinZugETbez,1,7,1,1),IF(D$116=OFFSET(ModEinZugETbez,0,8,1,1),OFFSET(ModEinZugETbez,1,8,1,1),IF(D$116=OFFSET(ModEinZugETbez,0,9,1,1),OFFSET(ModEinZugETbez,1,9,1,1),0))))))))))</f>
        <v>22554.423999999999</v>
      </c>
      <c r="E118" s="4">
        <f t="shared" ca="1" si="7"/>
        <v>0</v>
      </c>
      <c r="F118" s="4">
        <f t="shared" ca="1" si="7"/>
        <v>0</v>
      </c>
      <c r="G118" s="4">
        <f t="shared" ca="1" si="7"/>
        <v>0</v>
      </c>
      <c r="H118" s="4">
        <f t="shared" ca="1" si="7"/>
        <v>0</v>
      </c>
      <c r="I118" s="4">
        <f t="shared" ca="1" si="7"/>
        <v>0</v>
      </c>
      <c r="J118" s="4">
        <f t="shared" ca="1" si="7"/>
        <v>0</v>
      </c>
      <c r="K118" s="4">
        <f t="shared" ca="1" si="7"/>
        <v>0</v>
      </c>
      <c r="L118" s="17">
        <f t="shared" ref="L118" ca="1" si="8">IF(L$116=ModBestandETbez,OFFSET(ModBestandETbez,1,0,1,1),IF(L$116=OFFSET(ModBestandETbez,0,1,1,1),OFFSET(ModBestandETbez,1,1,1,1),IF(L$116=OFFSET(ModBestandETbez,0,2,1,1),OFFSET(ModBestandETbez,1,2,1,1),IF(L$116=OFFSET(ModBestandETbez,0,3,1,1),OFFSET(ModBestandETbez,1,3,1,1),IF(L$116=OFFSET(ModBestandETbez,0,4,1,1),OFFSET(ModBestandETbez,1,4,1,1),IF(L$116=OFFSET(ModBestandETbez,0,5,1,1),OFFSET(ModBestandETbez,1,5,1,1),IF(L$116=OFFSET(ModBestandETbez,0,6,1,1),OFFSET(ModBestandETbez,1,6,1,1),IF(L$116=OFFSET(ModBestandETbez,0,7,1,1),OFFSET(ModBestandETbez,1,7,1,1),IF(L$116=OFFSET(ModBestandETbez,0,8,1,1),OFFSET(ModBestandETbez,1,8,1,1),IF(L$116=OFFSET(ModBestandETbez,0,9,1,1),OFFSET(ModBestandETbez,1,9,1,1),0))))))))))</f>
        <v>0</v>
      </c>
      <c r="T118" s="8" t="str">
        <f>B117</f>
        <v>Bestand</v>
      </c>
      <c r="U118" s="9">
        <f ca="1">SUM(C117:L117)</f>
        <v>163867.57500000001</v>
      </c>
      <c r="V118" s="19" t="s">
        <v>152</v>
      </c>
    </row>
    <row r="119" spans="1:22" x14ac:dyDescent="0.2">
      <c r="B119" s="16" t="str">
        <f>IF(Mod1Bez&lt;&gt;"",Mod1Bez,"")</f>
        <v>MP1</v>
      </c>
      <c r="C119" s="4">
        <f ca="1">IF(C$131=Mod1ETbez,OFFSET(Mod1ETbez,1,0,1,1),IF(C$131=OFFSET(Mod1ETbez,0,1,1,1),OFFSET(Mod1ETbez,1,1,1,1),IF(C$131=OFFSET(Mod1ETbez,0,2,1,1),OFFSET(Mod1ETbez,1,2,1,1),IF(C$131=OFFSET(Mod1ETbez,0,3,1,1),OFFSET(Mod1ETbez,1,3,1,1),IF(C$131=OFFSET(Mod1ETbez,0,4,1,1),OFFSET(Mod1ETbez,1,4,1,1),IF(C$131=OFFSET(Mod1ETbez,0,5,1,1),OFFSET(Mod1ETbez,1,5,1,1),IF(C$131=OFFSET(Mod1ETbez,0,6,1,1),OFFSET(Mod1ETbez,1,6,1,1),IF(C$131=OFFSET(Mod1ETbez,0,7,1,1),OFFSET(Mod1ETbez,1,7,1,1),IF(C$131=OFFSET(Mod1ETbez,0,8,1,1),OFFSET(Mod1ETbez,1,8,1,1),IF(C$131=OFFSET(Mod1ETbez,0,9,1,1),OFFSET(Mod1ETbez,1,9,1,1),0))))))))))</f>
        <v>1982.441</v>
      </c>
      <c r="D119" s="4">
        <f ca="1">IF(D$116=Mod1ETbez,OFFSET(Mod1ETbez,1,0,1,1),IF(D$116=OFFSET(Mod1ETbez,0,1,1,1),OFFSET(Mod1ETbez,1,1,1,1),IF(D$116=OFFSET(Mod1ETbez,0,2,1,1),OFFSET(Mod1ETbez,1,2,1,1),IF(D$116=OFFSET(Mod1ETbez,0,3,1,1),OFFSET(Mod1ETbez,1,3,1,1),IF(D$116=OFFSET(Mod1ETbez,0,4,1,1),OFFSET(Mod1ETbez,1,4,1,1),IF(D$116=OFFSET(Mod1ETbez,0,5,1,1),OFFSET(Mod1ETbez,1,5,1,1),IF(D$116=OFFSET(Mod1ETbez,0,6,1,1),OFFSET(Mod1ETbez,1,6,1,1),IF(D$116=OFFSET(Mod1ETbez,0,7,1,1),OFFSET(Mod1ETbez,1,7,1,1),IF(D$116=OFFSET(Mod1ETbez,0,8,1,1),OFFSET(Mod1ETbez,1,8,1,1),IF(D$116=OFFSET(Mod1ETbez,0,9,1,1),OFFSET(Mod1ETbez,1,9,1,1),0))))))))))</f>
        <v>132318.75</v>
      </c>
      <c r="E119" s="4">
        <f t="shared" ref="E119:L119" ca="1" si="9">IF(E$116=Mod1ETbez,OFFSET(Mod1ETbez,1,0,1,1),IF(E$116=OFFSET(Mod1ETbez,0,1,1,1),OFFSET(Mod1ETbez,1,1,1,1),IF(E$116=OFFSET(Mod1ETbez,0,2,1,1),OFFSET(Mod1ETbez,1,2,1,1),IF(E$116=OFFSET(Mod1ETbez,0,3,1,1),OFFSET(Mod1ETbez,1,3,1,1),IF(E$116=OFFSET(Mod1ETbez,0,4,1,1),OFFSET(Mod1ETbez,1,4,1,1),IF(E$116=OFFSET(Mod1ETbez,0,5,1,1),OFFSET(Mod1ETbez,1,5,1,1),IF(E$116=OFFSET(Mod1ETbez,0,6,1,1),OFFSET(Mod1ETbez,1,6,1,1),IF(E$116=OFFSET(Mod1ETbez,0,7,1,1),OFFSET(Mod1ETbez,1,7,1,1),IF(E$116=OFFSET(Mod1ETbez,0,8,1,1),OFFSET(Mod1ETbez,1,8,1,1),IF(E$116=OFFSET(Mod1ETbez,0,9,1,1),OFFSET(Mod1ETbez,1,9,1,1),0))))))))))</f>
        <v>0</v>
      </c>
      <c r="F119" s="4">
        <f t="shared" ca="1" si="9"/>
        <v>0</v>
      </c>
      <c r="G119" s="4">
        <f t="shared" ca="1" si="9"/>
        <v>0</v>
      </c>
      <c r="H119" s="4">
        <f t="shared" ca="1" si="9"/>
        <v>0</v>
      </c>
      <c r="I119" s="4">
        <f t="shared" ca="1" si="9"/>
        <v>0</v>
      </c>
      <c r="J119" s="4">
        <f t="shared" ca="1" si="9"/>
        <v>0</v>
      </c>
      <c r="K119" s="4">
        <f t="shared" ca="1" si="9"/>
        <v>0</v>
      </c>
      <c r="L119" s="17">
        <f t="shared" ca="1" si="9"/>
        <v>0</v>
      </c>
      <c r="T119" s="8" t="str">
        <f t="shared" ref="T119:T128" si="10">B118</f>
        <v>MP3</v>
      </c>
      <c r="U119" s="9">
        <f t="shared" ref="U119:U129" ca="1" si="11">SUM(C118:L118)</f>
        <v>23073.437999999998</v>
      </c>
      <c r="V119" s="9">
        <f ca="1">$U$118-U119</f>
        <v>140794.13700000002</v>
      </c>
    </row>
    <row r="120" spans="1:22" x14ac:dyDescent="0.2">
      <c r="B120" s="16" t="str">
        <f>IF(Mod2Bez&lt;&gt;"",Mod2Bez,"")</f>
        <v>MP2</v>
      </c>
      <c r="C120" s="4">
        <f ca="1">IF(C$131=Mod2ETbez,OFFSET(Mod2ETbez,1,0,1,1),IF(C$131=OFFSET(Mod2ETbez,0,1,1,1),OFFSET(Mod2ETbez,1,1,1,1),IF(C$131=OFFSET(Mod2ETbez,0,2,1,1),OFFSET(Mod2ETbez,1,2,1,1),IF(C$131=OFFSET(Mod2ETbez,0,3,1,1),OFFSET(Mod2ETbez,1,3,1,1),IF(C$131=OFFSET(Mod2ETbez,0,4,1,1),OFFSET(Mod2ETbez,1,4,1,1),IF(C$131=OFFSET(Mod2ETbez,0,5,1,1),OFFSET(Mod2ETbez,1,5,1,1),IF(C$131=OFFSET(Mod2ETbez,0,6,1,1),OFFSET(Mod2ETbez,1,6,1,1),IF(C$131=OFFSET(Mod2ETbez,0,7,1,1),OFFSET(Mod2ETbez,1,7,1,1),IF(C$131=OFFSET(Mod2ETbez,0,8,1,1),OFFSET(Mod2ETbez,1,8,1,1),IF(C$131=OFFSET(Mod2ETbez,0,9,1,1),OFFSET(Mod2ETbez,1,9,1,1),0))))))))))</f>
        <v>738.07399999999996</v>
      </c>
      <c r="D120" s="4">
        <f ca="1">IF(D$116=Mod2ETbez,OFFSET(Mod2ETbez,1,0,1,1),IF(D$116=OFFSET(Mod2ETbez,0,1,1,1),OFFSET(Mod2ETbez,1,1,1,1),IF(D$116=OFFSET(Mod2ETbez,0,2,1,1),OFFSET(Mod2ETbez,1,2,1,1),IF(D$116=OFFSET(Mod2ETbez,0,3,1,1),OFFSET(Mod2ETbez,1,3,1,1),IF(D$116=OFFSET(Mod2ETbez,0,4,1,1),OFFSET(Mod2ETbez,1,4,1,1),IF(D$116=OFFSET(Mod2ETbez,0,5,1,1),OFFSET(Mod2ETbez,1,5,1,1),IF(D$116=OFFSET(Mod2ETbez,0,6,1,1),OFFSET(Mod2ETbez,1,6,1,1),IF(D$116=OFFSET(Mod2ETbez,0,7,1,1),OFFSET(Mod2ETbez,1,7,1,1),IF(D$116=OFFSET(Mod2ETbez,0,8,1,1),OFFSET(Mod2ETbez,1,8,1,1),IF(D$116=OFFSET(Mod2ETbez,0,9,1,1),OFFSET(Mod2ETbez,1,9,1,1),0))))))))))</f>
        <v>37647.582000000002</v>
      </c>
      <c r="E120" s="4">
        <f t="shared" ref="E120:L120" ca="1" si="12">IF(E$116=Mod2ETbez,OFFSET(Mod2ETbez,1,0,1,1),IF(E$116=OFFSET(Mod2ETbez,0,1,1,1),OFFSET(Mod2ETbez,1,1,1,1),IF(E$116=OFFSET(Mod2ETbez,0,2,1,1),OFFSET(Mod2ETbez,1,2,1,1),IF(E$116=OFFSET(Mod2ETbez,0,3,1,1),OFFSET(Mod2ETbez,1,3,1,1),IF(E$116=OFFSET(Mod2ETbez,0,4,1,1),OFFSET(Mod2ETbez,1,4,1,1),IF(E$116=OFFSET(Mod2ETbez,0,5,1,1),OFFSET(Mod2ETbez,1,5,1,1),IF(E$116=OFFSET(Mod2ETbez,0,6,1,1),OFFSET(Mod2ETbez,1,6,1,1),IF(E$116=OFFSET(Mod2ETbez,0,7,1,1),OFFSET(Mod2ETbez,1,7,1,1),IF(E$116=OFFSET(Mod2ETbez,0,8,1,1),OFFSET(Mod2ETbez,1,8,1,1),IF(E$116=OFFSET(Mod2ETbez,0,9,1,1),OFFSET(Mod2ETbez,1,9,1,1),0))))))))))</f>
        <v>0</v>
      </c>
      <c r="F120" s="4">
        <f t="shared" ca="1" si="12"/>
        <v>0</v>
      </c>
      <c r="G120" s="4">
        <f t="shared" ca="1" si="12"/>
        <v>0</v>
      </c>
      <c r="H120" s="4">
        <f t="shared" ca="1" si="12"/>
        <v>0</v>
      </c>
      <c r="I120" s="4">
        <f t="shared" ca="1" si="12"/>
        <v>0</v>
      </c>
      <c r="J120" s="4">
        <f t="shared" ca="1" si="12"/>
        <v>0</v>
      </c>
      <c r="K120" s="4">
        <f t="shared" ca="1" si="12"/>
        <v>0</v>
      </c>
      <c r="L120" s="17">
        <f t="shared" ca="1" si="12"/>
        <v>0</v>
      </c>
      <c r="T120" s="8" t="str">
        <f t="shared" si="10"/>
        <v>MP1</v>
      </c>
      <c r="U120" s="9">
        <f t="shared" ca="1" si="11"/>
        <v>134301.19099999999</v>
      </c>
      <c r="V120" s="9">
        <f t="shared" ref="V120:V129" ca="1" si="13">$U$118-U120</f>
        <v>29566.38400000002</v>
      </c>
    </row>
    <row r="121" spans="1:22" x14ac:dyDescent="0.2">
      <c r="B121" s="16" t="str">
        <f>IF(Mod3Bez&lt;&gt;"",Mod3Bez,"")</f>
        <v/>
      </c>
      <c r="C121" s="4">
        <f ca="1">IF(C$131=Mod3ETbez,OFFSET(Mod3ETbez,1,0,1,1),IF(C$131=OFFSET(Mod3ETbez,0,1,1,1),OFFSET(Mod3ETbez,1,1,1,1),IF(C$131=OFFSET(Mod3ETbez,0,2,1,1),OFFSET(Mod3ETbez,1,2,1,1),IF(C$131=OFFSET(Mod3ETbez,0,3,1,1),OFFSET(Mod3ETbez,1,3,1,1),IF(C$131=OFFSET(Mod3ETbez,0,4,1,1),OFFSET(Mod3ETbez,1,4,1,1),IF(C$131=OFFSET(Mod3ETbez,0,5,1,1),OFFSET(Mod3ETbez,1,5,1,1),IF(C$131=OFFSET(Mod3ETbez,0,6,1,1),OFFSET(Mod3ETbez,1,6,1,1),IF(C$131=OFFSET(Mod3ETbez,0,7,1,1),OFFSET(Mod3ETbez,1,7,1,1),IF(C$131=OFFSET(Mod3ETbez,0,8,1,1),OFFSET(Mod3ETbez,1,8,1,1),IF(C$131=OFFSET(Mod3ETbez,0,9,1,1),OFFSET(Mod3ETbez,1,9,1,1),0))))))))))</f>
        <v>0</v>
      </c>
      <c r="D121" s="4">
        <f ca="1">IF(D$116=Mod3ETbez,OFFSET(Mod3ETbez,1,0,1,1),IF(D$116=OFFSET(Mod3ETbez,0,1,1,1),OFFSET(Mod3ETbez,1,1,1,1),IF(D$116=OFFSET(Mod3ETbez,0,2,1,1),OFFSET(Mod3ETbez,1,2,1,1),IF(D$116=OFFSET(Mod3ETbez,0,3,1,1),OFFSET(Mod3ETbez,1,3,1,1),IF(D$116=OFFSET(Mod3ETbez,0,4,1,1),OFFSET(Mod3ETbez,1,4,1,1),IF(D$116=OFFSET(Mod3ETbez,0,5,1,1),OFFSET(Mod3ETbez,1,5,1,1),IF(D$116=OFFSET(Mod3ETbez,0,6,1,1),OFFSET(Mod3ETbez,1,6,1,1),IF(D$116=OFFSET(Mod3ETbez,0,7,1,1),OFFSET(Mod3ETbez,1,7,1,1),IF(D$116=OFFSET(Mod3ETbez,0,8,1,1),OFFSET(Mod3ETbez,1,8,1,1),IF(D$116=OFFSET(Mod3ETbez,0,9,1,1),OFFSET(Mod3ETbez,1,9,1,1),0))))))))))</f>
        <v>0</v>
      </c>
      <c r="E121" s="4">
        <f t="shared" ref="E121:L121" ca="1" si="14">IF(E$116=Mod3ETbez,OFFSET(Mod3ETbez,1,0,1,1),IF(E$116=OFFSET(Mod3ETbez,0,1,1,1),OFFSET(Mod3ETbez,1,1,1,1),IF(E$116=OFFSET(Mod3ETbez,0,2,1,1),OFFSET(Mod3ETbez,1,2,1,1),IF(E$116=OFFSET(Mod3ETbez,0,3,1,1),OFFSET(Mod3ETbez,1,3,1,1),IF(E$116=OFFSET(Mod3ETbez,0,4,1,1),OFFSET(Mod3ETbez,1,4,1,1),IF(E$116=OFFSET(Mod3ETbez,0,5,1,1),OFFSET(Mod3ETbez,1,5,1,1),IF(E$116=OFFSET(Mod3ETbez,0,6,1,1),OFFSET(Mod3ETbez,1,6,1,1),IF(E$116=OFFSET(Mod3ETbez,0,7,1,1),OFFSET(Mod3ETbez,1,7,1,1),IF(E$116=OFFSET(Mod3ETbez,0,8,1,1),OFFSET(Mod3ETbez,1,8,1,1),IF(E$116=OFFSET(Mod3ETbez,0,9,1,1),OFFSET(Mod3ETbez,1,9,1,1),0))))))))))</f>
        <v>0</v>
      </c>
      <c r="F121" s="4">
        <f t="shared" ca="1" si="14"/>
        <v>0</v>
      </c>
      <c r="G121" s="4">
        <f t="shared" ca="1" si="14"/>
        <v>0</v>
      </c>
      <c r="H121" s="4">
        <f t="shared" ca="1" si="14"/>
        <v>0</v>
      </c>
      <c r="I121" s="4">
        <f t="shared" ca="1" si="14"/>
        <v>0</v>
      </c>
      <c r="J121" s="4">
        <f t="shared" ca="1" si="14"/>
        <v>0</v>
      </c>
      <c r="K121" s="4">
        <f t="shared" ca="1" si="14"/>
        <v>0</v>
      </c>
      <c r="L121" s="17">
        <f t="shared" ca="1" si="14"/>
        <v>0</v>
      </c>
      <c r="T121" s="8" t="str">
        <f t="shared" si="10"/>
        <v>MP2</v>
      </c>
      <c r="U121" s="9">
        <f t="shared" ca="1" si="11"/>
        <v>38385.656000000003</v>
      </c>
      <c r="V121" s="9">
        <f t="shared" ca="1" si="13"/>
        <v>125481.91900000001</v>
      </c>
    </row>
    <row r="122" spans="1:22" x14ac:dyDescent="0.2">
      <c r="B122" s="16" t="str">
        <f>IF(Mod4Bez&lt;&gt;"",Mod4Bez,"")</f>
        <v/>
      </c>
      <c r="C122" s="4">
        <f ca="1">IF(C$131=Mod4ETbez,OFFSET(Mod4ETbez,1,0,1,1),IF(C$131=OFFSET(Mod4ETbez,0,1,1,1),OFFSET(Mod4ETbez,1,1,1,1),IF(C$131=OFFSET(Mod4ETbez,0,2,1,1),OFFSET(Mod4ETbez,1,2,1,1),IF(C$131=OFFSET(Mod4ETbez,0,3,1,1),OFFSET(Mod4ETbez,1,3,1,1),IF(C$131=OFFSET(Mod4ETbez,0,4,1,1),OFFSET(Mod4ETbez,1,4,1,1),IF(C$131=OFFSET(Mod4ETbez,0,5,1,1),OFFSET(Mod4ETbez,1,5,1,1),IF(C$131=OFFSET(Mod4ETbez,0,6,1,1),OFFSET(Mod4ETbez,1,6,1,1),IF(C$131=OFFSET(Mod4ETbez,0,7,1,1),OFFSET(Mod4ETbez,1,7,1,1),IF(C$131=OFFSET(Mod4ETbez,0,8,1,1),OFFSET(Mod4ETbez,1,8,1,1),IF(C$131=OFFSET(Mod4ETbez,0,9,1,1),OFFSET(Mod4ETbez,1,9,1,1),0))))))))))</f>
        <v>0</v>
      </c>
      <c r="D122" s="4">
        <f ca="1">IF(D$116=Mod4ETbez,OFFSET(Mod4ETbez,1,0,1,1),IF(D$116=OFFSET(Mod4ETbez,0,1,1,1),OFFSET(Mod4ETbez,1,1,1,1),IF(D$116=OFFSET(Mod4ETbez,0,2,1,1),OFFSET(Mod4ETbez,1,2,1,1),IF(D$116=OFFSET(Mod4ETbez,0,3,1,1),OFFSET(Mod4ETbez,1,3,1,1),IF(D$116=OFFSET(Mod4ETbez,0,4,1,1),OFFSET(Mod4ETbez,1,4,1,1),IF(D$116=OFFSET(Mod4ETbez,0,5,1,1),OFFSET(Mod4ETbez,1,5,1,1),IF(D$116=OFFSET(Mod4ETbez,0,6,1,1),OFFSET(Mod4ETbez,1,6,1,1),IF(D$116=OFFSET(Mod4ETbez,0,7,1,1),OFFSET(Mod4ETbez,1,7,1,1),IF(D$116=OFFSET(Mod4ETbez,0,8,1,1),OFFSET(Mod4ETbez,1,8,1,1),IF(D$116=OFFSET(Mod4ETbez,0,9,1,1),OFFSET(Mod4ETbez,1,9,1,1),0))))))))))</f>
        <v>0</v>
      </c>
      <c r="E122" s="4">
        <f t="shared" ref="E122:L122" ca="1" si="15">IF(E$116=Mod4ETbez,OFFSET(Mod4ETbez,1,0,1,1),IF(E$116=OFFSET(Mod4ETbez,0,1,1,1),OFFSET(Mod4ETbez,1,1,1,1),IF(E$116=OFFSET(Mod4ETbez,0,2,1,1),OFFSET(Mod4ETbez,1,2,1,1),IF(E$116=OFFSET(Mod4ETbez,0,3,1,1),OFFSET(Mod4ETbez,1,3,1,1),IF(E$116=OFFSET(Mod4ETbez,0,4,1,1),OFFSET(Mod4ETbez,1,4,1,1),IF(E$116=OFFSET(Mod4ETbez,0,5,1,1),OFFSET(Mod4ETbez,1,5,1,1),IF(E$116=OFFSET(Mod4ETbez,0,6,1,1),OFFSET(Mod4ETbez,1,6,1,1),IF(E$116=OFFSET(Mod4ETbez,0,7,1,1),OFFSET(Mod4ETbez,1,7,1,1),IF(E$116=OFFSET(Mod4ETbez,0,8,1,1),OFFSET(Mod4ETbez,1,8,1,1),IF(E$116=OFFSET(Mod4ETbez,0,9,1,1),OFFSET(Mod4ETbez,1,9,1,1),0))))))))))</f>
        <v>0</v>
      </c>
      <c r="F122" s="4">
        <f t="shared" ca="1" si="15"/>
        <v>0</v>
      </c>
      <c r="G122" s="4">
        <f t="shared" ca="1" si="15"/>
        <v>0</v>
      </c>
      <c r="H122" s="4">
        <f t="shared" ca="1" si="15"/>
        <v>0</v>
      </c>
      <c r="I122" s="4">
        <f t="shared" ca="1" si="15"/>
        <v>0</v>
      </c>
      <c r="J122" s="4">
        <f t="shared" ca="1" si="15"/>
        <v>0</v>
      </c>
      <c r="K122" s="4">
        <f t="shared" ca="1" si="15"/>
        <v>0</v>
      </c>
      <c r="L122" s="17">
        <f t="shared" ca="1" si="15"/>
        <v>0</v>
      </c>
      <c r="T122" s="8" t="str">
        <f t="shared" si="10"/>
        <v/>
      </c>
      <c r="U122" s="9">
        <f t="shared" ca="1" si="11"/>
        <v>0</v>
      </c>
      <c r="V122" s="9">
        <f t="shared" ca="1" si="13"/>
        <v>163867.57500000001</v>
      </c>
    </row>
    <row r="123" spans="1:22" x14ac:dyDescent="0.2">
      <c r="B123" s="16" t="str">
        <f>IF(Mod5Bez&lt;&gt;"",Mod5Bez,"")</f>
        <v/>
      </c>
      <c r="C123" s="4">
        <f ca="1">IF(C$131=Mod5ETbez,OFFSET(Mod5ETbez,1,0,1,1),IF(C$131=OFFSET(Mod5ETbez,0,1,1,1),OFFSET(Mod5ETbez,1,1,1,1),IF(C$131=OFFSET(Mod5ETbez,0,2,1,1),OFFSET(Mod5ETbez,1,2,1,1),IF(C$131=OFFSET(Mod5ETbez,0,3,1,1),OFFSET(Mod5ETbez,1,3,1,1),IF(C$131=OFFSET(Mod5ETbez,0,4,1,1),OFFSET(Mod5ETbez,1,4,1,1),IF(C$131=OFFSET(Mod5ETbez,0,5,1,1),OFFSET(Mod5ETbez,1,5,1,1),IF(C$131=OFFSET(Mod5ETbez,0,6,1,1),OFFSET(Mod5ETbez,1,6,1,1),IF(C$131=OFFSET(Mod5ETbez,0,7,1,1),OFFSET(Mod5ETbez,1,7,1,1),IF(C$131=OFFSET(Mod5ETbez,0,8,1,1),OFFSET(Mod5ETbez,1,8,1,1),IF(C$131=OFFSET(Mod5ETbez,0,9,1,1),OFFSET(Mod5ETbez,1,9,1,1),0))))))))))</f>
        <v>0</v>
      </c>
      <c r="D123" s="4">
        <f ca="1">IF(D$116=Mod5ETbez,OFFSET(Mod5ETbez,1,0,1,1),IF(D$116=OFFSET(Mod5ETbez,0,1,1,1),OFFSET(Mod5ETbez,1,1,1,1),IF(D$116=OFFSET(Mod5ETbez,0,2,1,1),OFFSET(Mod5ETbez,1,2,1,1),IF(D$116=OFFSET(Mod5ETbez,0,3,1,1),OFFSET(Mod5ETbez,1,3,1,1),IF(D$116=OFFSET(Mod5ETbez,0,4,1,1),OFFSET(Mod5ETbez,1,4,1,1),IF(D$116=OFFSET(Mod5ETbez,0,5,1,1),OFFSET(Mod5ETbez,1,5,1,1),IF(D$116=OFFSET(Mod5ETbez,0,6,1,1),OFFSET(Mod5ETbez,1,6,1,1),IF(D$116=OFFSET(Mod5ETbez,0,7,1,1),OFFSET(Mod5ETbez,1,7,1,1),IF(D$116=OFFSET(Mod5ETbez,0,8,1,1),OFFSET(Mod5ETbez,1,8,1,1),IF(D$116=OFFSET(Mod5ETbez,0,9,1,1),OFFSET(Mod5ETbez,1,9,1,1),0))))))))))</f>
        <v>0</v>
      </c>
      <c r="E123" s="4">
        <f t="shared" ref="E123:L123" ca="1" si="16">IF(E$116=Mod5ETbez,OFFSET(Mod5ETbez,1,0,1,1),IF(E$116=OFFSET(Mod5ETbez,0,1,1,1),OFFSET(Mod5ETbez,1,1,1,1),IF(E$116=OFFSET(Mod5ETbez,0,2,1,1),OFFSET(Mod5ETbez,1,2,1,1),IF(E$116=OFFSET(Mod5ETbez,0,3,1,1),OFFSET(Mod5ETbez,1,3,1,1),IF(E$116=OFFSET(Mod5ETbez,0,4,1,1),OFFSET(Mod5ETbez,1,4,1,1),IF(E$116=OFFSET(Mod5ETbez,0,5,1,1),OFFSET(Mod5ETbez,1,5,1,1),IF(E$116=OFFSET(Mod5ETbez,0,6,1,1),OFFSET(Mod5ETbez,1,6,1,1),IF(E$116=OFFSET(Mod5ETbez,0,7,1,1),OFFSET(Mod5ETbez,1,7,1,1),IF(E$116=OFFSET(Mod5ETbez,0,8,1,1),OFFSET(Mod5ETbez,1,8,1,1),IF(E$116=OFFSET(Mod5ETbez,0,9,1,1),OFFSET(Mod5ETbez,1,9,1,1),0))))))))))</f>
        <v>0</v>
      </c>
      <c r="F123" s="4">
        <f t="shared" ca="1" si="16"/>
        <v>0</v>
      </c>
      <c r="G123" s="4">
        <f t="shared" ca="1" si="16"/>
        <v>0</v>
      </c>
      <c r="H123" s="4">
        <f t="shared" ca="1" si="16"/>
        <v>0</v>
      </c>
      <c r="I123" s="4">
        <f t="shared" ca="1" si="16"/>
        <v>0</v>
      </c>
      <c r="J123" s="4">
        <f t="shared" ca="1" si="16"/>
        <v>0</v>
      </c>
      <c r="K123" s="4">
        <f t="shared" ca="1" si="16"/>
        <v>0</v>
      </c>
      <c r="L123" s="17">
        <f t="shared" ca="1" si="16"/>
        <v>0</v>
      </c>
      <c r="T123" s="8" t="str">
        <f t="shared" si="10"/>
        <v/>
      </c>
      <c r="U123" s="9">
        <f t="shared" ca="1" si="11"/>
        <v>0</v>
      </c>
      <c r="V123" s="9">
        <f t="shared" ca="1" si="13"/>
        <v>163867.57500000001</v>
      </c>
    </row>
    <row r="124" spans="1:22" x14ac:dyDescent="0.2">
      <c r="B124" s="16" t="str">
        <f>IF(Mod6Bez&lt;&gt;"",Mod6Bez,"")</f>
        <v/>
      </c>
      <c r="C124" s="4">
        <f ca="1">IF(C$131=Mod6ETbez,OFFSET(Mod6ETbez,1,0,1,1),IF(C$131=OFFSET(Mod6ETbez,0,1,1,1),OFFSET(Mod6ETbez,1,1,1,1),IF(C$131=OFFSET(Mod6ETbez,0,2,1,1),OFFSET(Mod6ETbez,1,2,1,1),IF(C$131=OFFSET(Mod6ETbez,0,3,1,1),OFFSET(Mod6ETbez,1,3,1,1),IF(C$131=OFFSET(Mod6ETbez,0,4,1,1),OFFSET(Mod6ETbez,1,4,1,1),IF(C$131=OFFSET(Mod6ETbez,0,5,1,1),OFFSET(Mod6ETbez,1,5,1,1),IF(C$131=OFFSET(Mod6ETbez,0,6,1,1),OFFSET(Mod6ETbez,1,6,1,1),IF(C$131=OFFSET(Mod6ETbez,0,7,1,1),OFFSET(Mod6ETbez,1,7,1,1),IF(C$131=OFFSET(Mod6ETbez,0,8,1,1),OFFSET(Mod6ETbez,1,8,1,1),IF(C$131=OFFSET(Mod6ETbez,0,9,1,1),OFFSET(Mod6ETbez,1,9,1,1),0))))))))))</f>
        <v>0</v>
      </c>
      <c r="D124" s="4">
        <f ca="1">IF(D$116=Mod6ETbez,OFFSET(Mod6ETbez,1,0,1,1),IF(D$116=OFFSET(Mod6ETbez,0,1,1,1),OFFSET(Mod6ETbez,1,1,1,1),IF(D$116=OFFSET(Mod6ETbez,0,2,1,1),OFFSET(Mod6ETbez,1,2,1,1),IF(D$116=OFFSET(Mod6ETbez,0,3,1,1),OFFSET(Mod6ETbez,1,3,1,1),IF(D$116=OFFSET(Mod6ETbez,0,4,1,1),OFFSET(Mod6ETbez,1,4,1,1),IF(D$116=OFFSET(Mod6ETbez,0,5,1,1),OFFSET(Mod6ETbez,1,5,1,1),IF(D$116=OFFSET(Mod6ETbez,0,6,1,1),OFFSET(Mod6ETbez,1,6,1,1),IF(D$116=OFFSET(Mod6ETbez,0,7,1,1),OFFSET(Mod6ETbez,1,7,1,1),IF(D$116=OFFSET(Mod6ETbez,0,8,1,1),OFFSET(Mod6ETbez,1,8,1,1),IF(D$116=OFFSET(Mod6ETbez,0,9,1,1),OFFSET(Mod6ETbez,1,9,1,1),0))))))))))</f>
        <v>0</v>
      </c>
      <c r="E124" s="4">
        <f t="shared" ref="E124:L124" ca="1" si="17">IF(E$116=Mod6ETbez,OFFSET(Mod6ETbez,1,0,1,1),IF(E$116=OFFSET(Mod6ETbez,0,1,1,1),OFFSET(Mod6ETbez,1,1,1,1),IF(E$116=OFFSET(Mod6ETbez,0,2,1,1),OFFSET(Mod6ETbez,1,2,1,1),IF(E$116=OFFSET(Mod6ETbez,0,3,1,1),OFFSET(Mod6ETbez,1,3,1,1),IF(E$116=OFFSET(Mod6ETbez,0,4,1,1),OFFSET(Mod6ETbez,1,4,1,1),IF(E$116=OFFSET(Mod6ETbez,0,5,1,1),OFFSET(Mod6ETbez,1,5,1,1),IF(E$116=OFFSET(Mod6ETbez,0,6,1,1),OFFSET(Mod6ETbez,1,6,1,1),IF(E$116=OFFSET(Mod6ETbez,0,7,1,1),OFFSET(Mod6ETbez,1,7,1,1),IF(E$116=OFFSET(Mod6ETbez,0,8,1,1),OFFSET(Mod6ETbez,1,8,1,1),IF(E$116=OFFSET(Mod6ETbez,0,9,1,1),OFFSET(Mod6ETbez,1,9,1,1),0))))))))))</f>
        <v>0</v>
      </c>
      <c r="F124" s="4">
        <f t="shared" ca="1" si="17"/>
        <v>0</v>
      </c>
      <c r="G124" s="4">
        <f t="shared" ca="1" si="17"/>
        <v>0</v>
      </c>
      <c r="H124" s="4">
        <f t="shared" ca="1" si="17"/>
        <v>0</v>
      </c>
      <c r="I124" s="4">
        <f t="shared" ca="1" si="17"/>
        <v>0</v>
      </c>
      <c r="J124" s="4">
        <f t="shared" ca="1" si="17"/>
        <v>0</v>
      </c>
      <c r="K124" s="4">
        <f t="shared" ca="1" si="17"/>
        <v>0</v>
      </c>
      <c r="L124" s="17">
        <f t="shared" ca="1" si="17"/>
        <v>0</v>
      </c>
      <c r="T124" s="8" t="str">
        <f t="shared" si="10"/>
        <v/>
      </c>
      <c r="U124" s="9">
        <f t="shared" ca="1" si="11"/>
        <v>0</v>
      </c>
      <c r="V124" s="9">
        <f t="shared" ca="1" si="13"/>
        <v>163867.57500000001</v>
      </c>
    </row>
    <row r="125" spans="1:22" x14ac:dyDescent="0.2">
      <c r="B125" s="16" t="str">
        <f>IF(Mod7Bez&lt;&gt;"",Mod7Bez,"")</f>
        <v/>
      </c>
      <c r="C125" s="4">
        <f ca="1">IF(C$131=Mod7ETbez,OFFSET(Mod7ETbez,1,0,1,1),IF(C$131=OFFSET(Mod7ETbez,0,1,1,1),OFFSET(Mod7ETbez,1,1,1,1),IF(C$131=OFFSET(Mod7ETbez,0,2,1,1),OFFSET(Mod7ETbez,1,2,1,1),IF(C$131=OFFSET(Mod7ETbez,0,3,1,1),OFFSET(Mod7ETbez,1,3,1,1),IF(C$131=OFFSET(Mod7ETbez,0,4,1,1),OFFSET(Mod7ETbez,1,4,1,1),IF(C$131=OFFSET(Mod7ETbez,0,5,1,1),OFFSET(Mod7ETbez,1,5,1,1),IF(C$131=OFFSET(Mod7ETbez,0,6,1,1),OFFSET(Mod7ETbez,1,6,1,1),IF(C$131=OFFSET(Mod7ETbez,0,7,1,1),OFFSET(Mod7ETbez,1,7,1,1),IF(C$131=OFFSET(Mod7ETbez,0,8,1,1),OFFSET(Mod7ETbez,1,8,1,1),IF(C$131=OFFSET(Mod7ETbez,0,9,1,1),OFFSET(Mod7ETbez,1,9,1,1),0))))))))))</f>
        <v>0</v>
      </c>
      <c r="D125" s="4">
        <f ca="1">IF(D$116=Mod7ETbez,OFFSET(Mod7ETbez,1,0,1,1),IF(D$116=OFFSET(Mod7ETbez,0,1,1,1),OFFSET(Mod7ETbez,1,1,1,1),IF(D$116=OFFSET(Mod7ETbez,0,2,1,1),OFFSET(Mod7ETbez,1,2,1,1),IF(D$116=OFFSET(Mod7ETbez,0,3,1,1),OFFSET(Mod7ETbez,1,3,1,1),IF(D$116=OFFSET(Mod7ETbez,0,4,1,1),OFFSET(Mod7ETbez,1,4,1,1),IF(D$116=OFFSET(Mod7ETbez,0,5,1,1),OFFSET(Mod7ETbez,1,5,1,1),IF(D$116=OFFSET(Mod7ETbez,0,6,1,1),OFFSET(Mod7ETbez,1,6,1,1),IF(D$116=OFFSET(Mod7ETbez,0,7,1,1),OFFSET(Mod7ETbez,1,7,1,1),IF(D$116=OFFSET(Mod7ETbez,0,8,1,1),OFFSET(Mod7ETbez,1,8,1,1),IF(D$116=OFFSET(Mod7ETbez,0,9,1,1),OFFSET(Mod7ETbez,1,9,1,1),0))))))))))</f>
        <v>0</v>
      </c>
      <c r="E125" s="4">
        <f t="shared" ref="E125:L125" ca="1" si="18">IF(E$116=Mod7ETbez,OFFSET(Mod7ETbez,1,0,1,1),IF(E$116=OFFSET(Mod7ETbez,0,1,1,1),OFFSET(Mod7ETbez,1,1,1,1),IF(E$116=OFFSET(Mod7ETbez,0,2,1,1),OFFSET(Mod7ETbez,1,2,1,1),IF(E$116=OFFSET(Mod7ETbez,0,3,1,1),OFFSET(Mod7ETbez,1,3,1,1),IF(E$116=OFFSET(Mod7ETbez,0,4,1,1),OFFSET(Mod7ETbez,1,4,1,1),IF(E$116=OFFSET(Mod7ETbez,0,5,1,1),OFFSET(Mod7ETbez,1,5,1,1),IF(E$116=OFFSET(Mod7ETbez,0,6,1,1),OFFSET(Mod7ETbez,1,6,1,1),IF(E$116=OFFSET(Mod7ETbez,0,7,1,1),OFFSET(Mod7ETbez,1,7,1,1),IF(E$116=OFFSET(Mod7ETbez,0,8,1,1),OFFSET(Mod7ETbez,1,8,1,1),IF(E$116=OFFSET(Mod7ETbez,0,9,1,1),OFFSET(Mod7ETbez,1,9,1,1),0))))))))))</f>
        <v>0</v>
      </c>
      <c r="F125" s="4">
        <f t="shared" ca="1" si="18"/>
        <v>0</v>
      </c>
      <c r="G125" s="4">
        <f t="shared" ca="1" si="18"/>
        <v>0</v>
      </c>
      <c r="H125" s="4">
        <f t="shared" ca="1" si="18"/>
        <v>0</v>
      </c>
      <c r="I125" s="4">
        <f t="shared" ca="1" si="18"/>
        <v>0</v>
      </c>
      <c r="J125" s="4">
        <f t="shared" ca="1" si="18"/>
        <v>0</v>
      </c>
      <c r="K125" s="4">
        <f t="shared" ca="1" si="18"/>
        <v>0</v>
      </c>
      <c r="L125" s="17">
        <f t="shared" ca="1" si="18"/>
        <v>0</v>
      </c>
      <c r="T125" s="8" t="str">
        <f t="shared" si="10"/>
        <v/>
      </c>
      <c r="U125" s="9">
        <f t="shared" ca="1" si="11"/>
        <v>0</v>
      </c>
      <c r="V125" s="9">
        <f t="shared" ca="1" si="13"/>
        <v>163867.57500000001</v>
      </c>
    </row>
    <row r="126" spans="1:22" x14ac:dyDescent="0.2">
      <c r="B126" s="16" t="str">
        <f>IF(Mod8Bez&lt;&gt;"",Mod8Bez,"")</f>
        <v/>
      </c>
      <c r="C126" s="4">
        <f ca="1">IF(C$131=Mod8ETbez,OFFSET(Mod8ETbez,1,0,1,1),IF(C$131=OFFSET(Mod8ETbez,0,1,1,1),OFFSET(Mod8ETbez,1,1,1,1),IF(C$131=OFFSET(Mod8ETbez,0,2,1,1),OFFSET(Mod8ETbez,1,2,1,1),IF(C$131=OFFSET(Mod8ETbez,0,3,1,1),OFFSET(Mod8ETbez,1,3,1,1),IF(C$131=OFFSET(Mod8ETbez,0,4,1,1),OFFSET(Mod8ETbez,1,4,1,1),IF(C$131=OFFSET(Mod8ETbez,0,5,1,1),OFFSET(Mod8ETbez,1,5,1,1),IF(C$131=OFFSET(Mod8ETbez,0,6,1,1),OFFSET(Mod8ETbez,1,6,1,1),IF(C$131=OFFSET(Mod8ETbez,0,7,1,1),OFFSET(Mod8ETbez,1,7,1,1),IF(C$131=OFFSET(Mod8ETbez,0,8,1,1),OFFSET(Mod8ETbez,1,8,1,1),IF(C$131=OFFSET(Mod8ETbez,0,9,1,1),OFFSET(Mod8ETbez,1,9,1,1),0))))))))))</f>
        <v>0</v>
      </c>
      <c r="D126" s="4">
        <f ca="1">IF(D$116=Mod8ETbez,OFFSET(Mod8ETbez,1,0,1,1),IF(D$116=OFFSET(Mod8ETbez,0,1,1,1),OFFSET(Mod8ETbez,1,1,1,1),IF(D$116=OFFSET(Mod8ETbez,0,2,1,1),OFFSET(Mod8ETbez,1,2,1,1),IF(D$116=OFFSET(Mod8ETbez,0,3,1,1),OFFSET(Mod8ETbez,1,3,1,1),IF(D$116=OFFSET(Mod8ETbez,0,4,1,1),OFFSET(Mod8ETbez,1,4,1,1),IF(D$116=OFFSET(Mod8ETbez,0,5,1,1),OFFSET(Mod8ETbez,1,5,1,1),IF(D$116=OFFSET(Mod8ETbez,0,6,1,1),OFFSET(Mod8ETbez,1,6,1,1),IF(D$116=OFFSET(Mod8ETbez,0,7,1,1),OFFSET(Mod8ETbez,1,7,1,1),IF(D$116=OFFSET(Mod8ETbez,0,8,1,1),OFFSET(Mod8ETbez,1,8,1,1),IF(D$116=OFFSET(Mod8ETbez,0,9,1,1),OFFSET(Mod8ETbez,1,9,1,1),0))))))))))</f>
        <v>0</v>
      </c>
      <c r="E126" s="4">
        <f t="shared" ref="E126:L126" ca="1" si="19">IF(E$116=Mod8ETbez,OFFSET(Mod8ETbez,1,0,1,1),IF(E$116=OFFSET(Mod8ETbez,0,1,1,1),OFFSET(Mod8ETbez,1,1,1,1),IF(E$116=OFFSET(Mod8ETbez,0,2,1,1),OFFSET(Mod8ETbez,1,2,1,1),IF(E$116=OFFSET(Mod8ETbez,0,3,1,1),OFFSET(Mod8ETbez,1,3,1,1),IF(E$116=OFFSET(Mod8ETbez,0,4,1,1),OFFSET(Mod8ETbez,1,4,1,1),IF(E$116=OFFSET(Mod8ETbez,0,5,1,1),OFFSET(Mod8ETbez,1,5,1,1),IF(E$116=OFFSET(Mod8ETbez,0,6,1,1),OFFSET(Mod8ETbez,1,6,1,1),IF(E$116=OFFSET(Mod8ETbez,0,7,1,1),OFFSET(Mod8ETbez,1,7,1,1),IF(E$116=OFFSET(Mod8ETbez,0,8,1,1),OFFSET(Mod8ETbez,1,8,1,1),IF(E$116=OFFSET(Mod8ETbez,0,9,1,1),OFFSET(Mod8ETbez,1,9,1,1),0))))))))))</f>
        <v>0</v>
      </c>
      <c r="F126" s="4">
        <f t="shared" ca="1" si="19"/>
        <v>0</v>
      </c>
      <c r="G126" s="4">
        <f t="shared" ca="1" si="19"/>
        <v>0</v>
      </c>
      <c r="H126" s="4">
        <f t="shared" ca="1" si="19"/>
        <v>0</v>
      </c>
      <c r="I126" s="4">
        <f t="shared" ca="1" si="19"/>
        <v>0</v>
      </c>
      <c r="J126" s="4">
        <f t="shared" ca="1" si="19"/>
        <v>0</v>
      </c>
      <c r="K126" s="4">
        <f t="shared" ca="1" si="19"/>
        <v>0</v>
      </c>
      <c r="L126" s="17">
        <f t="shared" ca="1" si="19"/>
        <v>0</v>
      </c>
      <c r="T126" s="8" t="str">
        <f t="shared" si="10"/>
        <v/>
      </c>
      <c r="U126" s="9">
        <f t="shared" ca="1" si="11"/>
        <v>0</v>
      </c>
      <c r="V126" s="9">
        <f t="shared" ca="1" si="13"/>
        <v>163867.57500000001</v>
      </c>
    </row>
    <row r="127" spans="1:22" x14ac:dyDescent="0.2">
      <c r="B127" s="20" t="str">
        <f>IF(Mod9Bez&lt;&gt;"",Mod9Bez,"")</f>
        <v/>
      </c>
      <c r="C127" s="21">
        <f ca="1">IF(C$131=Mod9ETbez,OFFSET(Mod9ETbez,1,0,1,1),IF(C$131=OFFSET(Mod9ETbez,0,1,1,1),OFFSET(Mod9ETbez,1,1,1,1),IF(C$131=OFFSET(Mod9ETbez,0,2,1,1),OFFSET(Mod9ETbez,1,2,1,1),IF(C$131=OFFSET(Mod9ETbez,0,3,1,1),OFFSET(Mod9ETbez,1,3,1,1),IF(C$131=OFFSET(Mod9ETbez,0,4,1,1),OFFSET(Mod9ETbez,1,4,1,1),IF(C$131=OFFSET(Mod9ETbez,0,5,1,1),OFFSET(Mod9ETbez,1,5,1,1),IF(C$131=OFFSET(Mod9ETbez,0,6,1,1),OFFSET(Mod9ETbez,1,6,1,1),IF(C$131=OFFSET(Mod9ETbez,0,7,1,1),OFFSET(Mod9ETbez,1,7,1,1),IF(C$131=OFFSET(Mod9ETbez,0,8,1,1),OFFSET(Mod9ETbez,1,8,1,1),IF(C$131=OFFSET(Mod9ETbez,0,9,1,1),OFFSET(Mod9ETbez,1,9,1,1),0))))))))))</f>
        <v>0</v>
      </c>
      <c r="D127" s="21">
        <f ca="1">IF(D$116=Mod9ETbez,OFFSET(Mod9ETbez,1,0,1,1),IF(D$116=OFFSET(Mod9ETbez,0,1,1,1),OFFSET(Mod9ETbez,1,1,1,1),IF(D$116=OFFSET(Mod9ETbez,0,2,1,1),OFFSET(Mod9ETbez,1,2,1,1),IF(D$116=OFFSET(Mod9ETbez,0,3,1,1),OFFSET(Mod9ETbez,1,3,1,1),IF(D$116=OFFSET(Mod9ETbez,0,4,1,1),OFFSET(Mod9ETbez,1,4,1,1),IF(D$116=OFFSET(Mod9ETbez,0,5,1,1),OFFSET(Mod9ETbez,1,5,1,1),IF(D$116=OFFSET(Mod9ETbez,0,6,1,1),OFFSET(Mod9ETbez,1,6,1,1),IF(D$116=OFFSET(Mod9ETbez,0,7,1,1),OFFSET(Mod9ETbez,1,7,1,1),IF(D$116=OFFSET(Mod9ETbez,0,8,1,1),OFFSET(Mod9ETbez,1,8,1,1),IF(D$116=OFFSET(Mod9ETbez,0,9,1,1),OFFSET(Mod9ETbez,1,9,1,1),0))))))))))</f>
        <v>0</v>
      </c>
      <c r="E127" s="21">
        <f t="shared" ref="E127:L127" ca="1" si="20">IF(E$116=Mod9ETbez,OFFSET(Mod9ETbez,1,0,1,1),IF(E$116=OFFSET(Mod9ETbez,0,1,1,1),OFFSET(Mod9ETbez,1,1,1,1),IF(E$116=OFFSET(Mod9ETbez,0,2,1,1),OFFSET(Mod9ETbez,1,2,1,1),IF(E$116=OFFSET(Mod9ETbez,0,3,1,1),OFFSET(Mod9ETbez,1,3,1,1),IF(E$116=OFFSET(Mod9ETbez,0,4,1,1),OFFSET(Mod9ETbez,1,4,1,1),IF(E$116=OFFSET(Mod9ETbez,0,5,1,1),OFFSET(Mod9ETbez,1,5,1,1),IF(E$116=OFFSET(Mod9ETbez,0,6,1,1),OFFSET(Mod9ETbez,1,6,1,1),IF(E$116=OFFSET(Mod9ETbez,0,7,1,1),OFFSET(Mod9ETbez,1,7,1,1),IF(E$116=OFFSET(Mod9ETbez,0,8,1,1),OFFSET(Mod9ETbez,1,8,1,1),IF(E$116=OFFSET(Mod9ETbez,0,9,1,1),OFFSET(Mod9ETbez,1,9,1,1),0))))))))))</f>
        <v>0</v>
      </c>
      <c r="F127" s="21">
        <f t="shared" ca="1" si="20"/>
        <v>0</v>
      </c>
      <c r="G127" s="21">
        <f t="shared" ca="1" si="20"/>
        <v>0</v>
      </c>
      <c r="H127" s="21">
        <f t="shared" ca="1" si="20"/>
        <v>0</v>
      </c>
      <c r="I127" s="21">
        <f t="shared" ca="1" si="20"/>
        <v>0</v>
      </c>
      <c r="J127" s="21">
        <f t="shared" ca="1" si="20"/>
        <v>0</v>
      </c>
      <c r="K127" s="21">
        <f t="shared" ca="1" si="20"/>
        <v>0</v>
      </c>
      <c r="L127" s="22">
        <f t="shared" ca="1" si="20"/>
        <v>0</v>
      </c>
      <c r="T127" s="8" t="str">
        <f t="shared" si="10"/>
        <v/>
      </c>
      <c r="U127" s="9">
        <f t="shared" ca="1" si="11"/>
        <v>0</v>
      </c>
      <c r="V127" s="9">
        <f t="shared" ca="1" si="13"/>
        <v>163867.57500000001</v>
      </c>
    </row>
    <row r="128" spans="1:22" x14ac:dyDescent="0.2">
      <c r="T128" s="8" t="str">
        <f t="shared" si="10"/>
        <v/>
      </c>
      <c r="U128" s="9">
        <f t="shared" ca="1" si="11"/>
        <v>0</v>
      </c>
      <c r="V128" s="9">
        <f t="shared" ca="1" si="13"/>
        <v>163867.57500000001</v>
      </c>
    </row>
    <row r="129" spans="1:22" x14ac:dyDescent="0.2">
      <c r="T129" s="8"/>
      <c r="U129" s="9">
        <f t="shared" si="11"/>
        <v>0</v>
      </c>
      <c r="V129" s="9">
        <f t="shared" ca="1" si="13"/>
        <v>163867.57500000001</v>
      </c>
    </row>
    <row r="130" spans="1:22" x14ac:dyDescent="0.2">
      <c r="A130" s="3" t="s">
        <v>48</v>
      </c>
    </row>
    <row r="131" spans="1:22" ht="25.5" x14ac:dyDescent="0.2">
      <c r="B131" s="11"/>
      <c r="C131" s="12" t="str">
        <f>ModEtBez</f>
        <v>Strom</v>
      </c>
      <c r="D131" s="23" t="str">
        <f ca="1">IF(OFFSET(ModEtBez,0,1,1,1)&lt;&gt;"",OFFSET(ModEtBez,0,1,1,1),"")</f>
        <v>Erdgas</v>
      </c>
      <c r="E131" s="23" t="str">
        <f ca="1">IF(OFFSET(ModEtBez,0,2,1,1)&lt;&gt;"",OFFSET(ModEtBez,0,2,1,1),"")</f>
        <v/>
      </c>
      <c r="F131" s="23" t="str">
        <f ca="1">IF(OFFSET(ModEtBez,0,3,1,1)&lt;&gt;"",OFFSET(ModEtBez,0,3,1,1),"")</f>
        <v/>
      </c>
      <c r="G131" s="12" t="str">
        <f ca="1">IF(OFFSET(ModEtBez,0,14,1,1)&lt;&gt;"",OFFSET(ModEtBez,0,4,1,1),"")</f>
        <v/>
      </c>
      <c r="H131" s="12" t="str">
        <f ca="1">IF(OFFSET(ModEtBez,0,5,1,1)&lt;&gt;"",OFFSET(ModEtBez,0,5,1,1),"")</f>
        <v/>
      </c>
      <c r="I131" s="12" t="str">
        <f ca="1">IF(OFFSET(ModEtBez,0,6,1,1)&lt;&gt;"",OFFSET(ModEtBez,0,6,1,1),"")</f>
        <v/>
      </c>
      <c r="J131" s="12" t="str">
        <f ca="1">IF(OFFSET(ModEtBez,0,7,1,1)&lt;&gt;"",OFFSET(ModEtBez,0,7,1,1),"")</f>
        <v/>
      </c>
      <c r="K131" s="12" t="str">
        <f ca="1">IF(OFFSET(ModEtBez,0,8,1,1)&lt;&gt;"",OFFSET(ModEtBez,0,8,1,1),"")</f>
        <v/>
      </c>
      <c r="L131" s="13" t="str">
        <f ca="1">IF(OFFSET(ModEtBez,0,9,1,1)&lt;&gt;"",OFFSET(ModEtBez,0,9,1,1),"")</f>
        <v/>
      </c>
      <c r="T131" s="14"/>
      <c r="U131" s="15" t="s">
        <v>146</v>
      </c>
      <c r="V131" s="15" t="s">
        <v>155</v>
      </c>
    </row>
    <row r="132" spans="1:22" x14ac:dyDescent="0.2">
      <c r="B132" s="16" t="s">
        <v>24</v>
      </c>
      <c r="C132" s="24">
        <f t="shared" ref="C132:L132" ca="1" si="21">IF(C$131=ModBestandETbez,OFFSET(ModBestandETbez,4,0,1,1),IF(C$131=OFFSET(ModBestandETbez,0,1,1,1),OFFSET(ModBestandETbez,4,1,1,1),IF(C$131=OFFSET(ModBestandETbez,0,2,1,1),OFFSET(ModBestandETbez,4,2,1,1),IF(C$131=OFFSET(ModBestandETbez,0,3,1,1),OFFSET(ModBestandETbez,4,3,1,1),IF(C$131=OFFSET(ModBestandETbez,0,4,1,1),OFFSET(ModBestandETbez,4,4,1,1),IF(C$131=OFFSET(ModBestandETbez,0,5,1,1),OFFSET(ModBestandETbez,4,5,1,1),IF(C$131=OFFSET(ModBestandETbez,0,6,1,1),OFFSET(ModBestandETbez,4,6,1,1),IF(C$131=OFFSET(ModBestandETbez,0,7,1,1),OFFSET(ModBestandETbez,4,7,1,1),IF(C$131=OFFSET(ModBestandETbez,0,8,1,1),OFFSET(ModBestandETbez,4,8,1,1),IF(C$131=OFFSET(ModBestandETbez,0,9,1,1),OFFSET(ModBestandETbez,4,9,1,1),0))))))))))</f>
        <v>2563</v>
      </c>
      <c r="D132" s="24">
        <f t="shared" ca="1" si="21"/>
        <v>0</v>
      </c>
      <c r="E132" s="24">
        <f t="shared" ca="1" si="21"/>
        <v>0</v>
      </c>
      <c r="F132" s="24">
        <f t="shared" ca="1" si="21"/>
        <v>0</v>
      </c>
      <c r="G132" s="24">
        <f t="shared" ca="1" si="21"/>
        <v>0</v>
      </c>
      <c r="H132" s="24">
        <f t="shared" ca="1" si="21"/>
        <v>0</v>
      </c>
      <c r="I132" s="24">
        <f t="shared" ca="1" si="21"/>
        <v>0</v>
      </c>
      <c r="J132" s="24">
        <f t="shared" ca="1" si="21"/>
        <v>0</v>
      </c>
      <c r="K132" s="24">
        <f t="shared" ca="1" si="21"/>
        <v>0</v>
      </c>
      <c r="L132" s="25">
        <f t="shared" ca="1" si="21"/>
        <v>0</v>
      </c>
      <c r="T132" s="14"/>
      <c r="U132" s="18" t="s">
        <v>40</v>
      </c>
      <c r="V132" s="18" t="s">
        <v>40</v>
      </c>
    </row>
    <row r="133" spans="1:22" x14ac:dyDescent="0.2">
      <c r="B133" s="16" t="str">
        <f>ModEinZugBez</f>
        <v>MP3</v>
      </c>
      <c r="C133" s="24">
        <f ca="1">IF(C$131=ModEinZugETbez,OFFSET(ModEinZugETbez,4,0,1,1),IF(C$131=OFFSET(ModEinZugETbez,0,1,1,1),OFFSET(ModEinZugETbez,4,1,1,1),IF(C$131=OFFSET(ModEinZugETbez,0,2,1,1),OFFSET(ModEinZugETbez,4,2,1,1),IF(C$131=OFFSET(ModEinZugETbez,0,3,1,1),OFFSET(ModEinZugETbez,4,3,1,1),IF(C$131=OFFSET(ModEinZugETbez,0,4,1,1),OFFSET(ModEinZugETbez,4,4,1,1),IF(C$131=OFFSET(ModEinZugETbez,0,5,1,1),OFFSET(ModEinZugETbez,4,5,1,1),IF(C$131=OFFSET(ModEinZugETbez,0,6,1,1),OFFSET(ModEinZugETbez,4,6,1,1),IF(C$131=OFFSET(ModEinZugETbez,0,7,1,1),OFFSET(ModEinZugETbez,4,7,1,1),IF(C$131=OFFSET(ModEinZugETbez,0,8,1,1),OFFSET(ModEinZugETbez,4,8,1,1),IF(C$131=OFFSET(ModEinZugETbez,0,9,1,1),OFFSET(ModEinZugETbez,4,9,1,1),0))))))))))</f>
        <v>3860.393</v>
      </c>
      <c r="D133" s="24">
        <f ca="1">IF(D$131=ModEinZugETbez,OFFSET(ModEinZugETbez,4,0,1,1),IF(D$131=OFFSET(ModEinZugETbez,0,1,1,1),OFFSET(ModEinZugETbez,4,1,1,1),IF(D$131=OFFSET(ModEinZugETbez,0,2,1,1),OFFSET(ModEinZugETbez,4,2,1,1),IF(D$131=OFFSET(ModEinZugETbez,0,3,1,1),OFFSET(ModEinZugETbez,4,3,1,1),IF(D$131=OFFSET(ModEinZugETbez,0,4,1,1),OFFSET(ModEinZugETbez,4,4,1,1),IF(D$131=OFFSET(ModEinZugETbez,0,5,1,1),OFFSET(ModEinZugETbez,4,5,1,1),IF(D$131=OFFSET(ModEinZugETbez,0,6,1,1),OFFSET(ModEinZugETbez,4,6,1,1),IF(D$131=OFFSET(ModEinZugETbez,0,7,1,1),OFFSET(ModEinZugETbez,4,7,1,1),IF(D$131=OFFSET(ModEinZugETbez,0,8,1,1),OFFSET(ModEinZugETbez,4,8,1,1),IF(D$131=OFFSET(ModEinZugETbez,0,9,1,1),OFFSET(ModEinZugETbez,4,9,1,1),0))))))))))</f>
        <v>22351.231</v>
      </c>
      <c r="E133" s="24">
        <f ca="1">IF(E$131=ModEinZugETbez,OFFSET(ModEinZugETbez,4,0,1,1),IF(E$131=OFFSET(ModEinZugETbez,0,1,1,1),OFFSET(ModEinZugETbez,4,1,1,1),IF(E$131=OFFSET(ModEinZugETbez,0,2,1,1),OFFSET(ModEinZugETbez,4,2,1,1),IF(E$131=OFFSET(ModEinZugETbez,0,3,1,1),OFFSET(ModEinZugETbez,4,3,1,1),IF(E$131=OFFSET(ModEinZugETbez,0,4,1,1),OFFSET(ModEinZugETbez,4,4,1,1),IF(E$131=OFFSET(ModEinZugETbez,0,5,1,1),OFFSET(ModEinZugETbez,4,5,1,1),IF(E$131=OFFSET(ModEinZugETbez,0,6,1,1),OFFSET(ModEinZugETbez,4,6,1,1),IF(E$131=OFFSET(ModEinZugETbez,0,7,1,1),OFFSET(ModEinZugETbez,4,7,1,1),IF(E$131=OFFSET(ModEinZugETbez,0,8,1,1),OFFSET(ModEinZugETbez,4,8,1,1),IF(E$131=OFFSET(ModEinZugETbez,0,9,1,1),OFFSET(ModEinZugETbez,4,9,1,1),0))))))))))</f>
        <v>0</v>
      </c>
      <c r="F133" s="24">
        <f t="shared" ref="F133:L133" ca="1" si="22">IF(F$131=ModBestandETbez,OFFSET(ModBestandETbez,4,0,1,1),IF(F$131=OFFSET(ModBestandETbez,0,1,1,1),OFFSET(ModBestandETbez,4,1,1,1),IF(F$131=OFFSET(ModBestandETbez,0,2,1,1),OFFSET(ModBestandETbez,4,2,1,1),IF(F$131=OFFSET(ModBestandETbez,0,3,1,1),OFFSET(ModBestandETbez,4,3,1,1),IF(F$131=OFFSET(ModBestandETbez,0,4,1,1),OFFSET(ModBestandETbez,4,4,1,1),IF(F$131=OFFSET(ModBestandETbez,0,5,1,1),OFFSET(ModBestandETbez,4,5,1,1),IF(F$131=OFFSET(ModBestandETbez,0,6,1,1),OFFSET(ModBestandETbez,4,6,1,1),IF(F$131=OFFSET(ModBestandETbez,0,7,1,1),OFFSET(ModBestandETbez,4,7,1,1),IF(F$131=OFFSET(ModBestandETbez,0,8,1,1),OFFSET(ModBestandETbez,4,8,1,1),IF(F$131=OFFSET(ModBestandETbez,0,9,1,1),OFFSET(ModBestandETbez,4,9,1,1),0))))))))))</f>
        <v>0</v>
      </c>
      <c r="G133" s="24">
        <f t="shared" ca="1" si="22"/>
        <v>0</v>
      </c>
      <c r="H133" s="24">
        <f t="shared" ca="1" si="22"/>
        <v>0</v>
      </c>
      <c r="I133" s="24">
        <f t="shared" ca="1" si="22"/>
        <v>0</v>
      </c>
      <c r="J133" s="24">
        <f t="shared" ca="1" si="22"/>
        <v>0</v>
      </c>
      <c r="K133" s="24">
        <f t="shared" ca="1" si="22"/>
        <v>0</v>
      </c>
      <c r="L133" s="25">
        <f t="shared" ca="1" si="22"/>
        <v>0</v>
      </c>
      <c r="T133" s="8" t="str">
        <f>B132</f>
        <v>Bestand</v>
      </c>
      <c r="U133" s="9">
        <f ca="1">SUM(C132:L132)</f>
        <v>2563</v>
      </c>
      <c r="V133" s="19" t="s">
        <v>152</v>
      </c>
    </row>
    <row r="134" spans="1:22" x14ac:dyDescent="0.2">
      <c r="B134" s="16" t="str">
        <f>IF(Mod1Bez&lt;&gt;"",Mod1Bez,"")</f>
        <v>MP1</v>
      </c>
      <c r="C134" s="24">
        <f t="shared" ref="C134:L134" ca="1" si="23">IF(C$131=Mod1ETbez,OFFSET(Mod1ETbez,4,0,1,1),IF(C$131=OFFSET(Mod1ETbez,0,1,1,1),OFFSET(Mod1ETbez,4,1,1,1),IF(C$131=OFFSET(Mod1ETbez,0,2,1,1),OFFSET(Mod1ETbez,4,2,1,1),IF(C$131=OFFSET(Mod1ETbez,0,3,1,1),OFFSET(Mod1ETbez,4,3,1,1),IF(C$131=OFFSET(Mod1ETbez,0,4,1,1),OFFSET(Mod1ETbez,4,4,1,1),IF(C$131=OFFSET(Mod1ETbez,0,5,1,1),OFFSET(Mod1ETbez,4,5,1,1),IF(C$131=OFFSET(Mod1ETbez,0,6,1,1),OFFSET(Mod1ETbez,4,6,1,1),IF(C$131=OFFSET(Mod1ETbez,0,7,1,1),OFFSET(Mod1ETbez,4,7,1,1),IF(C$131=OFFSET(Mod1ETbez,0,8,1,1),OFFSET(Mod1ETbez,4,8,1,1),IF(C$131=OFFSET(Mod1ETbez,0,9,1,1),OFFSET(Mod1ETbez,4,9,1,1),0))))))))))</f>
        <v>3568.3939999999998</v>
      </c>
      <c r="D134" s="24">
        <f t="shared" ca="1" si="23"/>
        <v>131126.68799999999</v>
      </c>
      <c r="E134" s="24">
        <f t="shared" ca="1" si="23"/>
        <v>0</v>
      </c>
      <c r="F134" s="24">
        <f t="shared" ca="1" si="23"/>
        <v>0</v>
      </c>
      <c r="G134" s="24">
        <f t="shared" ca="1" si="23"/>
        <v>0</v>
      </c>
      <c r="H134" s="24">
        <f t="shared" ca="1" si="23"/>
        <v>0</v>
      </c>
      <c r="I134" s="24">
        <f t="shared" ca="1" si="23"/>
        <v>0</v>
      </c>
      <c r="J134" s="24">
        <f t="shared" ca="1" si="23"/>
        <v>0</v>
      </c>
      <c r="K134" s="24">
        <f t="shared" ca="1" si="23"/>
        <v>0</v>
      </c>
      <c r="L134" s="25">
        <f t="shared" ca="1" si="23"/>
        <v>0</v>
      </c>
      <c r="T134" s="8" t="str">
        <f t="shared" ref="T134:T143" si="24">B133</f>
        <v>MP3</v>
      </c>
      <c r="U134" s="9">
        <f t="shared" ref="U134:U143" ca="1" si="25">SUM(C133:L133)</f>
        <v>26211.624</v>
      </c>
      <c r="V134" s="9">
        <f ca="1">$U$118-U134</f>
        <v>137655.951</v>
      </c>
    </row>
    <row r="135" spans="1:22" x14ac:dyDescent="0.2">
      <c r="B135" s="16" t="str">
        <f>IF(Mod2Bez&lt;&gt;"",Mod2Bez,"")</f>
        <v>MP2</v>
      </c>
      <c r="C135" s="26">
        <f t="shared" ref="C135:L135" ca="1" si="26">IF(C$131=Mod2ETbez,OFFSET(Mod2ETbez,4,0,1,1),IF(C$131=OFFSET(Mod2ETbez,0,1,1,1),OFFSET(Mod2ETbez,4,1,1,1),IF(C$131=OFFSET(Mod2ETbez,0,2,1,1),OFFSET(Mod2ETbez,4,2,1,1),IF(C$131=OFFSET(Mod2ETbez,0,3,1,1),OFFSET(Mod2ETbez,4,3,1,1),IF(C$131=OFFSET(Mod2ETbez,0,4,1,1),OFFSET(Mod2ETbez,4,4,1,1),IF(C$131=OFFSET(Mod2ETbez,0,5,1,1),OFFSET(Mod2ETbez,4,5,1,1),IF(C$131=OFFSET(Mod2ETbez,0,6,1,1),OFFSET(Mod2ETbez,4,6,1,1),IF(C$131=OFFSET(Mod2ETbez,0,7,1,1),OFFSET(Mod2ETbez,4,7,1,1),IF(C$131=OFFSET(Mod2ETbez,0,8,1,1),OFFSET(Mod2ETbez,4,8,1,1),IF(C$131=OFFSET(Mod2ETbez,0,9,1,1),OFFSET(Mod2ETbez,4,9,1,1),0))))))))))</f>
        <v>1328.5329999999999</v>
      </c>
      <c r="D135" s="24">
        <f t="shared" ca="1" si="26"/>
        <v>37308.413999999997</v>
      </c>
      <c r="E135" s="24">
        <f t="shared" ca="1" si="26"/>
        <v>0</v>
      </c>
      <c r="F135" s="24">
        <f t="shared" ca="1" si="26"/>
        <v>0</v>
      </c>
      <c r="G135" s="24">
        <f t="shared" ca="1" si="26"/>
        <v>0</v>
      </c>
      <c r="H135" s="24">
        <f t="shared" ca="1" si="26"/>
        <v>0</v>
      </c>
      <c r="I135" s="24">
        <f t="shared" ca="1" si="26"/>
        <v>0</v>
      </c>
      <c r="J135" s="24">
        <f t="shared" ca="1" si="26"/>
        <v>0</v>
      </c>
      <c r="K135" s="24">
        <f t="shared" ca="1" si="26"/>
        <v>0</v>
      </c>
      <c r="L135" s="25">
        <f t="shared" ca="1" si="26"/>
        <v>0</v>
      </c>
      <c r="T135" s="8" t="str">
        <f t="shared" si="24"/>
        <v>MP1</v>
      </c>
      <c r="U135" s="9">
        <f t="shared" ca="1" si="25"/>
        <v>134695.08199999999</v>
      </c>
      <c r="V135" s="9">
        <f t="shared" ref="V135:V143" ca="1" si="27">$U$118-U135</f>
        <v>29172.493000000017</v>
      </c>
    </row>
    <row r="136" spans="1:22" x14ac:dyDescent="0.2">
      <c r="B136" s="16" t="str">
        <f>IF(Mod3Bez&lt;&gt;"",Mod3Bez,"")</f>
        <v/>
      </c>
      <c r="C136" s="26">
        <f t="shared" ref="C136:L136" ca="1" si="28">IF(C$131=Mod3ETbez,OFFSET(Mod3ETbez,4,0,1,1),IF(C$131=OFFSET(Mod3ETbez,0,1,1,1),OFFSET(Mod3ETbez,4,1,1,1),IF(C$131=OFFSET(Mod3ETbez,0,2,1,1),OFFSET(Mod3ETbez,4,2,1,1),IF(C$131=OFFSET(Mod3ETbez,0,3,1,1),OFFSET(Mod3ETbez,4,3,1,1),IF(C$131=OFFSET(Mod3ETbez,0,4,1,1),OFFSET(Mod3ETbez,4,4,1,1),IF(C$131=OFFSET(Mod3ETbez,0,5,1,1),OFFSET(Mod3ETbez,4,5,1,1),IF(C$131=OFFSET(Mod3ETbez,0,6,1,1),OFFSET(Mod3ETbez,4,6,1,1),IF(C$131=OFFSET(Mod3ETbez,0,7,1,1),OFFSET(Mod3ETbez,4,7,1,1),IF(C$131=OFFSET(Mod3ETbez,0,8,1,1),OFFSET(Mod3ETbez,4,8,1,1),IF(C$131=OFFSET(Mod3ETbez,0,9,1,1),OFFSET(Mod3ETbez,4,9,1,1),0))))))))))</f>
        <v>0</v>
      </c>
      <c r="D136" s="26">
        <f t="shared" ca="1" si="28"/>
        <v>0</v>
      </c>
      <c r="E136" s="26">
        <f t="shared" ca="1" si="28"/>
        <v>0</v>
      </c>
      <c r="F136" s="24">
        <f t="shared" ca="1" si="28"/>
        <v>0</v>
      </c>
      <c r="G136" s="24">
        <f t="shared" ca="1" si="28"/>
        <v>0</v>
      </c>
      <c r="H136" s="24">
        <f t="shared" ca="1" si="28"/>
        <v>0</v>
      </c>
      <c r="I136" s="24">
        <f t="shared" ca="1" si="28"/>
        <v>0</v>
      </c>
      <c r="J136" s="24">
        <f t="shared" ca="1" si="28"/>
        <v>0</v>
      </c>
      <c r="K136" s="24">
        <f t="shared" ca="1" si="28"/>
        <v>0</v>
      </c>
      <c r="L136" s="25">
        <f t="shared" ca="1" si="28"/>
        <v>0</v>
      </c>
      <c r="T136" s="8" t="str">
        <f t="shared" si="24"/>
        <v>MP2</v>
      </c>
      <c r="U136" s="9">
        <f t="shared" ca="1" si="25"/>
        <v>38636.947</v>
      </c>
      <c r="V136" s="9">
        <f t="shared" ca="1" si="27"/>
        <v>125230.62800000001</v>
      </c>
    </row>
    <row r="137" spans="1:22" x14ac:dyDescent="0.2">
      <c r="B137" s="16" t="str">
        <f>IF(Mod4Bez&lt;&gt;"",Mod4Bez,"")</f>
        <v/>
      </c>
      <c r="C137" s="26">
        <f t="shared" ref="C137:L137" ca="1" si="29">IF(C$131=Mod4ETbez,OFFSET(Mod4ETbez,4,0,1,1),IF(C$131=OFFSET(Mod4ETbez,0,1,1,1),OFFSET(Mod4ETbez,4,1,1,1),IF(C$131=OFFSET(Mod4ETbez,0,2,1,1),OFFSET(Mod4ETbez,4,2,1,1),IF(C$131=OFFSET(Mod4ETbez,0,3,1,1),OFFSET(Mod4ETbez,4,3,1,1),IF(C$131=OFFSET(Mod4ETbez,0,4,1,1),OFFSET(Mod4ETbez,4,4,1,1),IF(C$131=OFFSET(Mod4ETbez,0,5,1,1),OFFSET(Mod4ETbez,4,5,1,1),IF(C$131=OFFSET(Mod4ETbez,0,6,1,1),OFFSET(Mod4ETbez,4,6,1,1),IF(C$131=OFFSET(Mod4ETbez,0,7,1,1),OFFSET(Mod4ETbez,4,7,1,1),IF(C$131=OFFSET(Mod4ETbez,0,8,1,1),OFFSET(Mod4ETbez,4,8,1,1),IF(C$131=OFFSET(Mod4ETbez,0,9,1,1),OFFSET(Mod4ETbez,4,9,1,1),0))))))))))</f>
        <v>0</v>
      </c>
      <c r="D137" s="26">
        <f t="shared" ca="1" si="29"/>
        <v>0</v>
      </c>
      <c r="E137" s="26">
        <f t="shared" ca="1" si="29"/>
        <v>0</v>
      </c>
      <c r="F137" s="26">
        <f t="shared" ca="1" si="29"/>
        <v>0</v>
      </c>
      <c r="G137" s="24">
        <f t="shared" ca="1" si="29"/>
        <v>0</v>
      </c>
      <c r="H137" s="24">
        <f t="shared" ca="1" si="29"/>
        <v>0</v>
      </c>
      <c r="I137" s="24">
        <f t="shared" ca="1" si="29"/>
        <v>0</v>
      </c>
      <c r="J137" s="24">
        <f t="shared" ca="1" si="29"/>
        <v>0</v>
      </c>
      <c r="K137" s="24">
        <f t="shared" ca="1" si="29"/>
        <v>0</v>
      </c>
      <c r="L137" s="25">
        <f t="shared" ca="1" si="29"/>
        <v>0</v>
      </c>
      <c r="T137" s="8" t="str">
        <f t="shared" si="24"/>
        <v/>
      </c>
      <c r="U137" s="9">
        <f t="shared" ca="1" si="25"/>
        <v>0</v>
      </c>
      <c r="V137" s="9">
        <f t="shared" ca="1" si="27"/>
        <v>163867.57500000001</v>
      </c>
    </row>
    <row r="138" spans="1:22" x14ac:dyDescent="0.2">
      <c r="B138" s="16" t="str">
        <f>IF(Mod5Bez&lt;&gt;"",Mod5Bez,"")</f>
        <v/>
      </c>
      <c r="C138" s="24">
        <f ca="1">IF(C$131=Mod5ETbez,OFFSET(Mod5ETbez,4,0,1,1),IF(C$131=OFFSET(Mod5ETbez,0,1,1,1),OFFSET(Mod5ETbez,4,1,1,1),IF(C$131=OFFSET(Mod5ETbez,0,2,1,1),OFFSET(Mod5ETbez,4,2,1,1),IF(C$131=OFFSET(Mod5ETbez,0,3,1,1),OFFSET(Mod5ETbez,4,3,1,1),IF(C$131=OFFSET(Mod5ETbez,0,4,1,1),OFFSET(Mod5ETbez,4,4,1,1),IF(C$131=OFFSET(Mod5ETbez,0,5,1,1),OFFSET(Mod5ETbez,4,5,1,1),IF(C$131=OFFSET(Mod5ETbez,0,6,1,1),OFFSET(Mod5ETbez,4,6,1,1),IF(C$131=OFFSET(Mod5ETbez,0,7,1,1),OFFSET(Mod5ETbez,4,7,1,1),IF(C$131=OFFSET(Mod5ETbez,0,8,1,1),OFFSET(Mod5ETbez,4,8,1,1),IF(C$131=OFFSET(Mod5ETbez,0,9,1,1),OFFSET(Mod5ETbez,4,9,1,1),0))))))))))</f>
        <v>0</v>
      </c>
      <c r="D138" s="24">
        <f ca="1">IF(D$131=Mod5ETbez,OFFSET(Mod5ETbez,4,0,1,1),IF(D$131=OFFSET(Mod5ETbez,0,1,1,1),OFFSET(Mod5ETbez,4,1,1,1),IF(D$131=OFFSET(Mod5ETbez,0,2,1,1),OFFSET(Mod5ETbez,4,2,1,1),IF(D$131=OFFSET(Mod5ETbez,0,3,1,1),OFFSET(Mod5ETbez,4,3,1,1),IF(D$131=OFFSET(Mod5ETbez,0,4,1,1),OFFSET(Mod5ETbez,4,4,1,1),IF(D$131=OFFSET(Mod5ETbez,0,5,1,1),OFFSET(Mod5ETbez,4,5,1,1),IF(D$131=OFFSET(Mod5ETbez,0,6,1,1),OFFSET(Mod5ETbez,4,6,1,1),IF(D$131=OFFSET(Mod5ETbez,0,7,1,1),OFFSET(Mod5ETbez,4,7,1,1),IF(D$131=OFFSET(Mod5ETbez,0,8,1,1),OFFSET(Mod5ETbez,4,8,1,1),IF(D$131=OFFSET(Mod5ETbez,0,9,1,1),OFFSET(Mod5ETbez,4,9,1,1),0))))))))))</f>
        <v>0</v>
      </c>
      <c r="E138" s="24">
        <f ca="1">IF(E$131=Mod5ETbez,OFFSET(Mod5ETbez,4,0,1,1),IF(E$131=OFFSET(Mod5ETbez,0,1,1,1),OFFSET(Mod5ETbez,4,1,1,1),IF(E$131=OFFSET(Mod5ETbez,0,2,1,1),OFFSET(Mod5ETbez,4,2,1,1),IF(E$131=OFFSET(Mod5ETbez,0,3,1,1),OFFSET(Mod5ETbez,4,3,1,1),IF(E$131=OFFSET(Mod5ETbez,0,4,1,1),OFFSET(Mod5ETbez,4,4,1,1),IF(E$131=OFFSET(Mod5ETbez,0,5,1,1),OFFSET(Mod5ETbez,4,5,1,1),IF(E$131=OFFSET(Mod5ETbez,0,6,1,1),OFFSET(Mod5ETbez,4,6,1,1),IF(E$131=OFFSET(Mod5ETbez,0,7,1,1),OFFSET(Mod5ETbez,4,7,1,1),IF(E$131=OFFSET(Mod5ETbez,0,8,1,1),OFFSET(Mod5ETbez,4,8,1,1),IF(E$131=OFFSET(Mod5ETbez,0,9,1,1),OFFSET(Mod5ETbez,4,9,1,1),0))))))))))</f>
        <v>0</v>
      </c>
      <c r="F138" s="24"/>
      <c r="G138" s="24">
        <f t="shared" ref="G138:L138" ca="1" si="30">IF(G$131=Mod5ETbez,OFFSET(Mod5ETbez,4,0,1,1),IF(G$131=OFFSET(Mod5ETbez,0,1,1,1),OFFSET(Mod5ETbez,4,1,1,1),IF(G$131=OFFSET(Mod5ETbez,0,2,1,1),OFFSET(Mod5ETbez,4,2,1,1),IF(G$131=OFFSET(Mod5ETbez,0,3,1,1),OFFSET(Mod5ETbez,4,3,1,1),IF(G$131=OFFSET(Mod5ETbez,0,4,1,1),OFFSET(Mod5ETbez,4,4,1,1),IF(G$131=OFFSET(Mod5ETbez,0,5,1,1),OFFSET(Mod5ETbez,4,5,1,1),IF(G$131=OFFSET(Mod5ETbez,0,6,1,1),OFFSET(Mod5ETbez,4,6,1,1),IF(G$131=OFFSET(Mod5ETbez,0,7,1,1),OFFSET(Mod5ETbez,4,7,1,1),IF(G$131=OFFSET(Mod5ETbez,0,8,1,1),OFFSET(Mod5ETbez,4,8,1,1),IF(G$131=OFFSET(Mod5ETbez,0,9,1,1),OFFSET(Mod5ETbez,4,9,1,1),0))))))))))</f>
        <v>0</v>
      </c>
      <c r="H138" s="24">
        <f t="shared" ca="1" si="30"/>
        <v>0</v>
      </c>
      <c r="I138" s="24">
        <f t="shared" ca="1" si="30"/>
        <v>0</v>
      </c>
      <c r="J138" s="24">
        <f t="shared" ca="1" si="30"/>
        <v>0</v>
      </c>
      <c r="K138" s="24">
        <f t="shared" ca="1" si="30"/>
        <v>0</v>
      </c>
      <c r="L138" s="25">
        <f t="shared" ca="1" si="30"/>
        <v>0</v>
      </c>
      <c r="T138" s="8" t="str">
        <f t="shared" si="24"/>
        <v/>
      </c>
      <c r="U138" s="9">
        <f t="shared" ca="1" si="25"/>
        <v>0</v>
      </c>
      <c r="V138" s="9">
        <f t="shared" ca="1" si="27"/>
        <v>163867.57500000001</v>
      </c>
    </row>
    <row r="139" spans="1:22" x14ac:dyDescent="0.2">
      <c r="B139" s="16" t="str">
        <f>IF(Mod6Bez&lt;&gt;"",Mod6Bez,"")</f>
        <v/>
      </c>
      <c r="C139" s="24">
        <f t="shared" ref="C139:L139" ca="1" si="31">IF(C$131=Mod6ETbez,OFFSET(Mod6ETbez,4,0,1,1),IF(C$131=OFFSET(Mod6ETbez,0,1,1,1),OFFSET(Mod6ETbez,4,1,1,1),IF(C$131=OFFSET(Mod6ETbez,0,2,1,1),OFFSET(Mod6ETbez,4,2,1,1),IF(C$131=OFFSET(Mod6ETbez,0,3,1,1),OFFSET(Mod6ETbez,4,3,1,1),IF(C$131=OFFSET(Mod6ETbez,0,4,1,1),OFFSET(Mod6ETbez,4,4,1,1),IF(C$131=OFFSET(Mod6ETbez,0,5,1,1),OFFSET(Mod6ETbez,4,5,1,1),IF(C$131=OFFSET(Mod6ETbez,0,6,1,1),OFFSET(Mod6ETbez,4,6,1,1),IF(C$131=OFFSET(Mod6ETbez,0,7,1,1),OFFSET(Mod6ETbez,4,7,1,1),IF(C$131=OFFSET(Mod6ETbez,0,8,1,1),OFFSET(Mod6ETbez,4,8,1,1),IF(C$131=OFFSET(Mod6ETbez,0,9,1,1),OFFSET(Mod6ETbez,4,9,1,1),0))))))))))</f>
        <v>0</v>
      </c>
      <c r="D139" s="24">
        <f t="shared" ca="1" si="31"/>
        <v>0</v>
      </c>
      <c r="E139" s="24">
        <f t="shared" ca="1" si="31"/>
        <v>0</v>
      </c>
      <c r="F139" s="24">
        <f t="shared" ca="1" si="31"/>
        <v>0</v>
      </c>
      <c r="G139" s="24">
        <f t="shared" ca="1" si="31"/>
        <v>0</v>
      </c>
      <c r="H139" s="24">
        <f t="shared" ca="1" si="31"/>
        <v>0</v>
      </c>
      <c r="I139" s="24">
        <f t="shared" ca="1" si="31"/>
        <v>0</v>
      </c>
      <c r="J139" s="24">
        <f t="shared" ca="1" si="31"/>
        <v>0</v>
      </c>
      <c r="K139" s="24">
        <f t="shared" ca="1" si="31"/>
        <v>0</v>
      </c>
      <c r="L139" s="25">
        <f t="shared" ca="1" si="31"/>
        <v>0</v>
      </c>
      <c r="T139" s="8" t="str">
        <f t="shared" si="24"/>
        <v/>
      </c>
      <c r="U139" s="9">
        <f t="shared" ca="1" si="25"/>
        <v>0</v>
      </c>
      <c r="V139" s="9">
        <f t="shared" ca="1" si="27"/>
        <v>163867.57500000001</v>
      </c>
    </row>
    <row r="140" spans="1:22" x14ac:dyDescent="0.2">
      <c r="B140" s="16" t="str">
        <f>IF(Mod7Bez&lt;&gt;"",Mod7Bez,"")</f>
        <v/>
      </c>
      <c r="C140" s="24">
        <f t="shared" ref="C140:L140" ca="1" si="32">IF(C$131=Mod7ETbez,OFFSET(Mod7ETbez,4,0,1,1),IF(C$131=OFFSET(Mod7ETbez,0,1,1,1),OFFSET(Mod7ETbez,4,1,1,1),IF(C$131=OFFSET(Mod7ETbez,0,2,1,1),OFFSET(Mod7ETbez,4,2,1,1),IF(C$131=OFFSET(Mod7ETbez,0,3,1,1),OFFSET(Mod7ETbez,4,3,1,1),IF(C$131=OFFSET(Mod7ETbez,0,4,1,1),OFFSET(Mod7ETbez,4,4,1,1),IF(C$131=OFFSET(Mod7ETbez,0,5,1,1),OFFSET(Mod7ETbez,4,5,1,1),IF(C$131=OFFSET(Mod7ETbez,0,6,1,1),OFFSET(Mod7ETbez,4,6,1,1),IF(C$131=OFFSET(Mod7ETbez,0,7,1,1),OFFSET(Mod7ETbez,4,7,1,1),IF(C$131=OFFSET(Mod7ETbez,0,8,1,1),OFFSET(Mod7ETbez,4,8,1,1),IF(C$131=OFFSET(Mod7ETbez,0,9,1,1),OFFSET(Mod7ETbez,4,9,1,1),0))))))))))</f>
        <v>0</v>
      </c>
      <c r="D140" s="24">
        <f t="shared" ca="1" si="32"/>
        <v>0</v>
      </c>
      <c r="E140" s="24">
        <f t="shared" ca="1" si="32"/>
        <v>0</v>
      </c>
      <c r="F140" s="24">
        <f t="shared" ca="1" si="32"/>
        <v>0</v>
      </c>
      <c r="G140" s="24">
        <f t="shared" ca="1" si="32"/>
        <v>0</v>
      </c>
      <c r="H140" s="24">
        <f t="shared" ca="1" si="32"/>
        <v>0</v>
      </c>
      <c r="I140" s="24">
        <f t="shared" ca="1" si="32"/>
        <v>0</v>
      </c>
      <c r="J140" s="24">
        <f t="shared" ca="1" si="32"/>
        <v>0</v>
      </c>
      <c r="K140" s="24">
        <f t="shared" ca="1" si="32"/>
        <v>0</v>
      </c>
      <c r="L140" s="25">
        <f t="shared" ca="1" si="32"/>
        <v>0</v>
      </c>
      <c r="T140" s="8" t="str">
        <f t="shared" si="24"/>
        <v/>
      </c>
      <c r="U140" s="9">
        <f t="shared" ca="1" si="25"/>
        <v>0</v>
      </c>
      <c r="V140" s="9">
        <f t="shared" ca="1" si="27"/>
        <v>163867.57500000001</v>
      </c>
    </row>
    <row r="141" spans="1:22" x14ac:dyDescent="0.2">
      <c r="B141" s="16" t="str">
        <f>IF(Mod8Bez&lt;&gt;"",Mod8Bez,"")</f>
        <v/>
      </c>
      <c r="C141" s="24">
        <f t="shared" ref="C141:L141" ca="1" si="33">IF(C$131=Mod8ETbez,OFFSET(Mod8ETbez,4,0,1,1),IF(C$131=OFFSET(Mod8ETbez,0,1,1,1),OFFSET(Mod8ETbez,4,1,1,1),IF(C$131=OFFSET(Mod8ETbez,0,2,1,1),OFFSET(Mod8ETbez,4,2,1,1),IF(C$131=OFFSET(Mod8ETbez,0,3,1,1),OFFSET(Mod8ETbez,4,3,1,1),IF(C$131=OFFSET(Mod8ETbez,0,4,1,1),OFFSET(Mod8ETbez,4,4,1,1),IF(C$131=OFFSET(Mod8ETbez,0,5,1,1),OFFSET(Mod8ETbez,4,5,1,1),IF(C$131=OFFSET(Mod8ETbez,0,6,1,1),OFFSET(Mod8ETbez,4,6,1,1),IF(C$131=OFFSET(Mod8ETbez,0,7,1,1),OFFSET(Mod8ETbez,4,7,1,1),IF(C$131=OFFSET(Mod8ETbez,0,8,1,1),OFFSET(Mod8ETbez,4,8,1,1),IF(C$131=OFFSET(Mod8ETbez,0,9,1,1),OFFSET(Mod8ETbez,4,9,1,1),0))))))))))</f>
        <v>0</v>
      </c>
      <c r="D141" s="24">
        <f t="shared" ca="1" si="33"/>
        <v>0</v>
      </c>
      <c r="E141" s="24">
        <f t="shared" ca="1" si="33"/>
        <v>0</v>
      </c>
      <c r="F141" s="24">
        <f t="shared" ca="1" si="33"/>
        <v>0</v>
      </c>
      <c r="G141" s="24">
        <f t="shared" ca="1" si="33"/>
        <v>0</v>
      </c>
      <c r="H141" s="24">
        <f t="shared" ca="1" si="33"/>
        <v>0</v>
      </c>
      <c r="I141" s="24">
        <f t="shared" ca="1" si="33"/>
        <v>0</v>
      </c>
      <c r="J141" s="24">
        <f t="shared" ca="1" si="33"/>
        <v>0</v>
      </c>
      <c r="K141" s="24">
        <f t="shared" ca="1" si="33"/>
        <v>0</v>
      </c>
      <c r="L141" s="25">
        <f t="shared" ca="1" si="33"/>
        <v>0</v>
      </c>
      <c r="T141" s="8" t="str">
        <f t="shared" si="24"/>
        <v/>
      </c>
      <c r="U141" s="9">
        <f t="shared" ca="1" si="25"/>
        <v>0</v>
      </c>
      <c r="V141" s="9">
        <f t="shared" ca="1" si="27"/>
        <v>163867.57500000001</v>
      </c>
    </row>
    <row r="142" spans="1:22" x14ac:dyDescent="0.2">
      <c r="B142" s="20" t="str">
        <f>IF(Mod9Bez&lt;&gt;"",Mod9Bez,"")</f>
        <v/>
      </c>
      <c r="C142" s="27"/>
      <c r="D142" s="27"/>
      <c r="E142" s="27"/>
      <c r="F142" s="27"/>
      <c r="G142" s="27"/>
      <c r="H142" s="27"/>
      <c r="I142" s="27"/>
      <c r="J142" s="27"/>
      <c r="K142" s="27"/>
      <c r="L142" s="28"/>
      <c r="T142" s="8" t="str">
        <f t="shared" si="24"/>
        <v/>
      </c>
      <c r="U142" s="9">
        <f t="shared" ca="1" si="25"/>
        <v>0</v>
      </c>
      <c r="V142" s="9">
        <f t="shared" ca="1" si="27"/>
        <v>163867.57500000001</v>
      </c>
    </row>
    <row r="143" spans="1:22" x14ac:dyDescent="0.2">
      <c r="T143" s="8" t="str">
        <f t="shared" si="24"/>
        <v/>
      </c>
      <c r="U143" s="9">
        <f t="shared" si="25"/>
        <v>0</v>
      </c>
      <c r="V143" s="9">
        <f t="shared" ca="1" si="27"/>
        <v>163867.57500000001</v>
      </c>
    </row>
    <row r="144" spans="1:22" x14ac:dyDescent="0.2">
      <c r="T144" s="8"/>
      <c r="U144" s="9"/>
      <c r="V144" s="9"/>
    </row>
    <row r="145" spans="1:22" ht="14.25" x14ac:dyDescent="0.25">
      <c r="A145" s="3" t="s">
        <v>162</v>
      </c>
      <c r="T145" s="29"/>
      <c r="U145" s="30"/>
      <c r="V145" s="30"/>
    </row>
    <row r="146" spans="1:22" ht="25.5" x14ac:dyDescent="0.25">
      <c r="B146" s="11"/>
      <c r="C146" s="13" t="s">
        <v>163</v>
      </c>
      <c r="T146" s="14"/>
      <c r="U146" s="15" t="s">
        <v>156</v>
      </c>
      <c r="V146" s="15" t="s">
        <v>155</v>
      </c>
    </row>
    <row r="147" spans="1:22" x14ac:dyDescent="0.2">
      <c r="B147" s="16" t="s">
        <v>24</v>
      </c>
      <c r="C147" s="17">
        <f ca="1">SUM(OFFSET(ModBestandETbez,5,0,1,1):OFFSET(ModBestandETbez,5,10,1,1))</f>
        <v>22</v>
      </c>
      <c r="T147" s="14"/>
      <c r="U147" s="18" t="s">
        <v>157</v>
      </c>
      <c r="V147" s="18" t="s">
        <v>157</v>
      </c>
    </row>
    <row r="148" spans="1:22" x14ac:dyDescent="0.2">
      <c r="B148" s="16" t="str">
        <f>ModEinZugBez</f>
        <v>MP3</v>
      </c>
      <c r="C148" s="17">
        <f ca="1">SUM(OFFSET(ModEinZugETbez,5,0,1,1):OFFSET(ModEinZugETbez,5,10,1,1))</f>
        <v>6077.643</v>
      </c>
      <c r="T148" s="8" t="str">
        <f>B147</f>
        <v>Bestand</v>
      </c>
      <c r="U148" s="9">
        <f ca="1">SUM(C147:L147)</f>
        <v>22</v>
      </c>
      <c r="V148" s="19" t="s">
        <v>152</v>
      </c>
    </row>
    <row r="149" spans="1:22" x14ac:dyDescent="0.2">
      <c r="B149" s="16" t="str">
        <f>IF(Mod1Bez&lt;&gt;"",Mod1Bez,"")</f>
        <v>MP1</v>
      </c>
      <c r="C149" s="17">
        <f ca="1">SUM(OFFSET(Mod1ETbez,5,0,1,1):OFFSET(Mod1ETbez,5,10,1,1))</f>
        <v>29719.626</v>
      </c>
      <c r="T149" s="8" t="str">
        <f t="shared" ref="T149:T158" si="34">B148</f>
        <v>MP3</v>
      </c>
      <c r="U149" s="9">
        <f t="shared" ref="U149:U159" ca="1" si="35">SUM(C148:L148)</f>
        <v>6077.643</v>
      </c>
      <c r="V149" s="9">
        <f ca="1">$U$118-U149</f>
        <v>157789.932</v>
      </c>
    </row>
    <row r="150" spans="1:22" x14ac:dyDescent="0.2">
      <c r="B150" s="16" t="str">
        <f>IF(Mod2Bez&lt;&gt;"",Mod2Bez,"")</f>
        <v>MP2</v>
      </c>
      <c r="C150" s="17">
        <f ca="1">SUM(OFFSET(Mod2ETbez,5,0,1,1):OFFSET(Mod2ETbez,5,10,1,1))</f>
        <v>8553.3389999999999</v>
      </c>
      <c r="T150" s="8" t="str">
        <f t="shared" si="34"/>
        <v>MP1</v>
      </c>
      <c r="U150" s="9">
        <f t="shared" ca="1" si="35"/>
        <v>29719.626</v>
      </c>
      <c r="V150" s="9">
        <f t="shared" ref="V150:V159" ca="1" si="36">$U$118-U150</f>
        <v>134147.94900000002</v>
      </c>
    </row>
    <row r="151" spans="1:22" x14ac:dyDescent="0.2">
      <c r="B151" s="16" t="str">
        <f>IF(Mod3Bez&lt;&gt;"",Mod3Bez,"")</f>
        <v/>
      </c>
      <c r="C151" s="17">
        <f ca="1">SUM(OFFSET(Mod3ETbez,5,0,1,1):OFFSET(Mod3ETbez,5,10,1,1))</f>
        <v>0</v>
      </c>
      <c r="T151" s="8" t="str">
        <f t="shared" si="34"/>
        <v>MP2</v>
      </c>
      <c r="U151" s="9">
        <f t="shared" ca="1" si="35"/>
        <v>8553.3389999999999</v>
      </c>
      <c r="V151" s="9">
        <f t="shared" ca="1" si="36"/>
        <v>155314.236</v>
      </c>
    </row>
    <row r="152" spans="1:22" x14ac:dyDescent="0.2">
      <c r="B152" s="16" t="str">
        <f>IF(Mod4Bez&lt;&gt;"",Mod4Bez,"")</f>
        <v/>
      </c>
      <c r="C152" s="17">
        <f ca="1">SUM(OFFSET(Mod4ETbez,5,0,1,1):OFFSET(Mod4ETbez,5,10,1,1))</f>
        <v>0</v>
      </c>
      <c r="T152" s="8" t="str">
        <f t="shared" si="34"/>
        <v/>
      </c>
      <c r="U152" s="9">
        <f t="shared" ca="1" si="35"/>
        <v>0</v>
      </c>
      <c r="V152" s="9">
        <f t="shared" ca="1" si="36"/>
        <v>163867.57500000001</v>
      </c>
    </row>
    <row r="153" spans="1:22" x14ac:dyDescent="0.2">
      <c r="B153" s="16" t="str">
        <f>IF(Mod5Bez&lt;&gt;"",Mod5Bez,"")</f>
        <v/>
      </c>
      <c r="C153" s="17">
        <f ca="1">SUM(OFFSET(Mod5ETbez,5,0,1,1):OFFSET(Mod5ETbez,5,10,1,1))</f>
        <v>0</v>
      </c>
      <c r="T153" s="8" t="str">
        <f t="shared" si="34"/>
        <v/>
      </c>
      <c r="U153" s="9">
        <f t="shared" ca="1" si="35"/>
        <v>0</v>
      </c>
      <c r="V153" s="9">
        <f t="shared" ca="1" si="36"/>
        <v>163867.57500000001</v>
      </c>
    </row>
    <row r="154" spans="1:22" x14ac:dyDescent="0.2">
      <c r="B154" s="16" t="str">
        <f>IF(Mod6Bez&lt;&gt;"",Mod6Bez,"")</f>
        <v/>
      </c>
      <c r="C154" s="17">
        <f ca="1">SUM(OFFSET(Mod6ETbez,5,0,1,1):OFFSET(Mod6ETbez,5,10,1,1))</f>
        <v>0</v>
      </c>
      <c r="T154" s="8" t="str">
        <f t="shared" si="34"/>
        <v/>
      </c>
      <c r="U154" s="9">
        <f t="shared" ca="1" si="35"/>
        <v>0</v>
      </c>
      <c r="V154" s="9">
        <f t="shared" ca="1" si="36"/>
        <v>163867.57500000001</v>
      </c>
    </row>
    <row r="155" spans="1:22" x14ac:dyDescent="0.2">
      <c r="B155" s="16" t="str">
        <f>IF(Mod7Bez&lt;&gt;"",Mod7Bez,"")</f>
        <v/>
      </c>
      <c r="C155" s="17">
        <f ca="1">SUM(OFFSET(Mod7ETbez,5,0,1,1):OFFSET(Mod7ETbez,5,10,1,1))</f>
        <v>0</v>
      </c>
      <c r="T155" s="8" t="str">
        <f t="shared" si="34"/>
        <v/>
      </c>
      <c r="U155" s="9">
        <f t="shared" ca="1" si="35"/>
        <v>0</v>
      </c>
      <c r="V155" s="9">
        <f t="shared" ca="1" si="36"/>
        <v>163867.57500000001</v>
      </c>
    </row>
    <row r="156" spans="1:22" x14ac:dyDescent="0.2">
      <c r="B156" s="16" t="str">
        <f>IF(Mod8Bez&lt;&gt;"",Mod8Bez,"")</f>
        <v/>
      </c>
      <c r="C156" s="17">
        <f ca="1">SUM(OFFSET(Mod8ETbez,5,0,1,1):OFFSET(Mod8ETbez,5,10,1,1))</f>
        <v>0</v>
      </c>
      <c r="T156" s="8" t="str">
        <f t="shared" si="34"/>
        <v/>
      </c>
      <c r="U156" s="9">
        <f t="shared" ca="1" si="35"/>
        <v>0</v>
      </c>
      <c r="V156" s="9">
        <f t="shared" ca="1" si="36"/>
        <v>163867.57500000001</v>
      </c>
    </row>
    <row r="157" spans="1:22" x14ac:dyDescent="0.2">
      <c r="B157" s="20" t="str">
        <f>IF(Mod9Bez&lt;&gt;"",Mod9Bez,"")</f>
        <v/>
      </c>
      <c r="C157" s="22">
        <f ca="1">SUM(OFFSET(Mod9ETbez,5,0,1,1):OFFSET(Mod9ETbez,5,10,1,1))</f>
        <v>0</v>
      </c>
      <c r="T157" s="8" t="str">
        <f t="shared" si="34"/>
        <v/>
      </c>
      <c r="U157" s="9">
        <f t="shared" ca="1" si="35"/>
        <v>0</v>
      </c>
      <c r="V157" s="9">
        <f t="shared" ca="1" si="36"/>
        <v>163867.57500000001</v>
      </c>
    </row>
    <row r="158" spans="1:22" x14ac:dyDescent="0.2">
      <c r="C158" s="4"/>
      <c r="T158" s="8" t="str">
        <f t="shared" si="34"/>
        <v/>
      </c>
      <c r="U158" s="9">
        <f t="shared" ca="1" si="35"/>
        <v>0</v>
      </c>
      <c r="V158" s="9">
        <f t="shared" ca="1" si="36"/>
        <v>163867.57500000001</v>
      </c>
    </row>
    <row r="159" spans="1:22" x14ac:dyDescent="0.2">
      <c r="A159" s="3" t="s">
        <v>58</v>
      </c>
      <c r="T159" s="8"/>
      <c r="U159" s="9">
        <f t="shared" si="35"/>
        <v>0</v>
      </c>
      <c r="V159" s="9">
        <f t="shared" ca="1" si="36"/>
        <v>163867.57500000001</v>
      </c>
    </row>
    <row r="160" spans="1:22" x14ac:dyDescent="0.2">
      <c r="O160" s="3" t="s">
        <v>133</v>
      </c>
    </row>
    <row r="161" spans="2:19" x14ac:dyDescent="0.2">
      <c r="D161" s="31"/>
      <c r="E161" s="31"/>
      <c r="J161" s="52" t="s">
        <v>54</v>
      </c>
      <c r="K161" s="52" t="s">
        <v>52</v>
      </c>
      <c r="L161" s="52" t="s">
        <v>51</v>
      </c>
      <c r="M161" s="68" t="s">
        <v>55</v>
      </c>
    </row>
    <row r="162" spans="2:19" x14ac:dyDescent="0.2">
      <c r="D162" s="31"/>
      <c r="E162" s="31"/>
      <c r="J162" s="45"/>
      <c r="K162" s="54" t="s">
        <v>56</v>
      </c>
      <c r="L162" s="54" t="s">
        <v>57</v>
      </c>
      <c r="M162" s="55" t="s">
        <v>59</v>
      </c>
      <c r="O162" s="32"/>
      <c r="P162" s="33" t="s">
        <v>52</v>
      </c>
      <c r="Q162" s="34" t="s">
        <v>55</v>
      </c>
      <c r="R162" s="33" t="s">
        <v>52</v>
      </c>
      <c r="S162" s="34" t="s">
        <v>55</v>
      </c>
    </row>
    <row r="163" spans="2:19" x14ac:dyDescent="0.2">
      <c r="B163" s="31"/>
      <c r="C163" s="31"/>
      <c r="D163" s="31"/>
      <c r="E163" s="31"/>
      <c r="J163" s="48" t="str">
        <f ca="1">TRIM(CONCATENATE(OFFSET(BilCodeBt,0,0,1,1), " ", OFFSET(BilCodeBt,0,1,1,1)))</f>
        <v>AF01 Fenster Einfach-Isolierverglasung</v>
      </c>
      <c r="K163" s="56">
        <f ca="1">IF(OFFSET(BilCodeBt,0,2,1,1)&lt;&gt;"",OFFSET(BilCodeBt,0,2,1,1),"")</f>
        <v>149.58000000000001</v>
      </c>
      <c r="L163" s="56">
        <f ca="1">OFFSET(BilCodeBt,0,3,1,1)</f>
        <v>2.7</v>
      </c>
      <c r="M163" s="49">
        <f ca="1">OFFSET(BilCodeBt,0,4,1,1)</f>
        <v>36777.08</v>
      </c>
      <c r="O163" s="11" t="str">
        <f ca="1">IF(J163="","",J163)</f>
        <v>AF01 Fenster Einfach-Isolierverglasung</v>
      </c>
      <c r="P163" s="11">
        <f ca="1">IF(K163="","",K163)</f>
        <v>149.58000000000001</v>
      </c>
      <c r="Q163" s="11">
        <f ca="1">IF(M163="","",M163)</f>
        <v>36777.08</v>
      </c>
      <c r="R163" s="89">
        <f t="shared" ref="R163:R192" ca="1" si="37">IF(Q163=0,0,P163/SUM($P$163:$P$192))</f>
        <v>0.27419207009696994</v>
      </c>
      <c r="S163" s="89">
        <f ca="1">Q163/SUM($Q$163:$Q$192)</f>
        <v>0.34462657523623041</v>
      </c>
    </row>
    <row r="164" spans="2:19" x14ac:dyDescent="0.2">
      <c r="B164" s="31"/>
      <c r="C164" s="31"/>
      <c r="D164" s="31"/>
      <c r="E164" s="31"/>
      <c r="J164" s="48" t="str">
        <f ca="1">TRIM(CONCATENATE(OFFSET(BilCodeBt,1,0,1,1), " ", OFFSET(BilCodeBt,1,1,1,1)))</f>
        <v>AF02 Fenster Einfachverglasung</v>
      </c>
      <c r="K164" s="56">
        <f ca="1">IF(OFFSET(BilCodeBt,1,2,1,1)&lt;&gt;"",OFFSET(BilCodeBt,1,2,1,1),"")</f>
        <v>26.66</v>
      </c>
      <c r="L164" s="56">
        <f ca="1">OFFSET(BilCodeBt,1,3,1,1)</f>
        <v>5</v>
      </c>
      <c r="M164" s="49">
        <f ca="1">OFFSET(BilCodeBt,1,4,1,1)</f>
        <v>11939.22</v>
      </c>
      <c r="O164" s="11" t="str">
        <f t="shared" ref="O164:O166" ca="1" si="38">IF(J164="","",J164)</f>
        <v>AF02 Fenster Einfachverglasung</v>
      </c>
      <c r="P164" s="11">
        <f t="shared" ref="P164:P166" ca="1" si="39">IF(K164="","",K164)</f>
        <v>26.66</v>
      </c>
      <c r="Q164" s="11">
        <f t="shared" ref="Q164:Q166" ca="1" si="40">IF(M164="","",M164)</f>
        <v>11939.22</v>
      </c>
      <c r="R164" s="89">
        <f t="shared" ca="1" si="37"/>
        <v>4.8869906329624402E-2</v>
      </c>
      <c r="S164" s="89">
        <f t="shared" ref="S164:S192" ca="1" si="41">Q164/SUM($Q$163:$Q$192)</f>
        <v>0.11187871629808312</v>
      </c>
    </row>
    <row r="165" spans="2:19" x14ac:dyDescent="0.2">
      <c r="B165" s="31"/>
      <c r="C165" s="31"/>
      <c r="D165" s="31"/>
      <c r="E165" s="31"/>
      <c r="J165" s="48" t="str">
        <f ca="1">TRIM(CONCATENATE(OFFSET(BilCodeBt,2,0,1,1), " ", OFFSET(BilCodeBt,2,1,1,1)))</f>
        <v>AT01 AT N EG</v>
      </c>
      <c r="K165" s="56">
        <f ca="1">IF(OFFSET(BilCodeBt,2,2,1,1)&lt;&gt;"",OFFSET(BilCodeBt,2,2,1,1),"")</f>
        <v>5.13</v>
      </c>
      <c r="L165" s="56">
        <f ca="1">OFFSET(BilCodeBt,2,3,1,1)</f>
        <v>5</v>
      </c>
      <c r="M165" s="49">
        <f ca="1">OFFSET(BilCodeBt,2,4,1,1)</f>
        <v>2297.38</v>
      </c>
      <c r="O165" s="11" t="str">
        <f t="shared" ca="1" si="38"/>
        <v>AT01 AT N EG</v>
      </c>
      <c r="P165" s="11">
        <f t="shared" ca="1" si="39"/>
        <v>5.13</v>
      </c>
      <c r="Q165" s="11">
        <f t="shared" ca="1" si="40"/>
        <v>2297.38</v>
      </c>
      <c r="R165" s="89">
        <f t="shared" ca="1" si="37"/>
        <v>9.4036991549502329E-3</v>
      </c>
      <c r="S165" s="89">
        <f t="shared" ca="1" si="41"/>
        <v>2.1528033259198692E-2</v>
      </c>
    </row>
    <row r="166" spans="2:19" x14ac:dyDescent="0.2">
      <c r="B166" s="31"/>
      <c r="C166" s="31"/>
      <c r="D166" s="31"/>
      <c r="E166" s="31"/>
      <c r="J166" s="48" t="str">
        <f ca="1">TRIM(CONCATENATE(OFFSET(BilCodeBt,3,0,1,1), " ", OFFSET(BilCodeBt,3,1,1,1)))</f>
        <v>AT02 AT S DA</v>
      </c>
      <c r="K166" s="56">
        <f ca="1">IF(OFFSET(BilCodeBt,3,2,1,1)&lt;&gt;"",OFFSET(BilCodeBt,3,2,1,1),"")</f>
        <v>1.72</v>
      </c>
      <c r="L166" s="56">
        <f ca="1">OFFSET(BilCodeBt,3,3,1,1)</f>
        <v>3.5</v>
      </c>
      <c r="M166" s="49">
        <f ca="1">OFFSET(BilCodeBt,3,4,1,1)</f>
        <v>543.72</v>
      </c>
      <c r="O166" s="11" t="str">
        <f t="shared" ca="1" si="38"/>
        <v>AT02 AT S DA</v>
      </c>
      <c r="P166" s="11">
        <f t="shared" ca="1" si="39"/>
        <v>1.72</v>
      </c>
      <c r="Q166" s="11">
        <f t="shared" ca="1" si="40"/>
        <v>543.72</v>
      </c>
      <c r="R166" s="89">
        <f t="shared" ca="1" si="37"/>
        <v>3.1528971825564131E-3</v>
      </c>
      <c r="S166" s="89">
        <f t="shared" ca="1" si="41"/>
        <v>5.0950309673156004E-3</v>
      </c>
    </row>
    <row r="167" spans="2:19" x14ac:dyDescent="0.2">
      <c r="B167" s="31"/>
      <c r="C167" s="31"/>
      <c r="D167" s="31"/>
      <c r="E167" s="31"/>
      <c r="J167" s="48" t="str">
        <f ca="1">TRIM(CONCATENATE(OFFSET(BilCodeBt,4,0,1,1), " ", OFFSET(BilCodeBt,4,1,1,1)))</f>
        <v>AW01 AW N 1. OG</v>
      </c>
      <c r="K167" s="56">
        <f ca="1">IF(OFFSET(BilCodeBt,4,2,1,1)&lt;&gt;"",OFFSET(BilCodeBt,4,2,1,1),"")</f>
        <v>28.09</v>
      </c>
      <c r="L167" s="56">
        <f ca="1">OFFSET(BilCodeBt,4,3,1,1)</f>
        <v>1.53</v>
      </c>
      <c r="M167" s="49">
        <f ca="1">OFFSET(BilCodeBt,4,4,1,1)</f>
        <v>4020.55</v>
      </c>
      <c r="O167" s="11" t="str">
        <f t="shared" ref="O167:O192" ca="1" si="42">IF(J167="","",J167)</f>
        <v>AW01 AW N 1. OG</v>
      </c>
      <c r="P167" s="11">
        <f t="shared" ref="P167:P192" ca="1" si="43">IF(K167="","",K167)</f>
        <v>28.09</v>
      </c>
      <c r="Q167" s="11">
        <f t="shared" ref="Q167:Q192" ca="1" si="44">IF(M167="","",M167)</f>
        <v>4020.55</v>
      </c>
      <c r="R167" s="89">
        <f t="shared" ca="1" si="37"/>
        <v>5.1491210382563747E-2</v>
      </c>
      <c r="S167" s="89">
        <f t="shared" ca="1" si="41"/>
        <v>3.767532324659887E-2</v>
      </c>
    </row>
    <row r="168" spans="2:19" x14ac:dyDescent="0.2">
      <c r="B168" s="31"/>
      <c r="C168" s="31"/>
      <c r="D168" s="31"/>
      <c r="E168" s="31"/>
      <c r="J168" s="48" t="str">
        <f ca="1">TRIM(CONCATENATE(OFFSET(BilCodeBt,5,0,1,1), " ", OFFSET(BilCodeBt,5,1,1,1)))</f>
        <v>AW02 AW N 2345. OG</v>
      </c>
      <c r="K168" s="56">
        <f ca="1">IF(OFFSET(BilCodeBt,5,2,1,1)&lt;&gt;"",OFFSET(BilCodeBt,5,2,1,1),"")</f>
        <v>100.24</v>
      </c>
      <c r="L168" s="56">
        <f ca="1">OFFSET(BilCodeBt,5,3,1,1)</f>
        <v>1.77</v>
      </c>
      <c r="M168" s="49">
        <f ca="1">OFFSET(BilCodeBt,5,4,1,1)</f>
        <v>16459.95</v>
      </c>
      <c r="O168" s="11" t="str">
        <f t="shared" ca="1" si="42"/>
        <v>AW02 AW N 2345. OG</v>
      </c>
      <c r="P168" s="11">
        <f t="shared" ca="1" si="43"/>
        <v>100.24</v>
      </c>
      <c r="Q168" s="11">
        <f t="shared" ca="1" si="44"/>
        <v>16459.95</v>
      </c>
      <c r="R168" s="89">
        <f t="shared" ca="1" si="37"/>
        <v>0.18374791487177608</v>
      </c>
      <c r="S168" s="89">
        <f t="shared" ca="1" si="41"/>
        <v>0.15424107071740309</v>
      </c>
    </row>
    <row r="169" spans="2:19" x14ac:dyDescent="0.2">
      <c r="B169" s="31"/>
      <c r="C169" s="31"/>
      <c r="D169" s="31"/>
      <c r="E169" s="31"/>
      <c r="J169" s="48" t="str">
        <f ca="1">TRIM(CONCATENATE(OFFSET(BilCodeBt,6,0,1,1), " ", OFFSET(BilCodeBt,6,1,1,1)))</f>
        <v>AW03 AW N EG</v>
      </c>
      <c r="K169" s="56">
        <f ca="1">IF(OFFSET(BilCodeBt,6,2,1,1)&lt;&gt;"",OFFSET(BilCodeBt,6,2,1,1),"")</f>
        <v>22.89</v>
      </c>
      <c r="L169" s="56">
        <f ca="1">OFFSET(BilCodeBt,6,3,1,1)</f>
        <v>1.3</v>
      </c>
      <c r="M169" s="49">
        <f ca="1">OFFSET(BilCodeBt,6,4,1,1)</f>
        <v>2813.97</v>
      </c>
      <c r="O169" s="11" t="str">
        <f t="shared" ca="1" si="42"/>
        <v>AW03 AW N EG</v>
      </c>
      <c r="P169" s="11">
        <f t="shared" ca="1" si="43"/>
        <v>22.89</v>
      </c>
      <c r="Q169" s="11">
        <f t="shared" ca="1" si="44"/>
        <v>2813.97</v>
      </c>
      <c r="R169" s="89">
        <f t="shared" ca="1" si="37"/>
        <v>4.1959195644602501E-2</v>
      </c>
      <c r="S169" s="89">
        <f t="shared" ca="1" si="41"/>
        <v>2.6368837436726765E-2</v>
      </c>
    </row>
    <row r="170" spans="2:19" x14ac:dyDescent="0.2">
      <c r="B170" s="31"/>
      <c r="C170" s="31"/>
      <c r="D170" s="31"/>
      <c r="E170" s="31"/>
      <c r="J170" s="48" t="str">
        <f ca="1">TRIM(CONCATENATE(OFFSET(BilCodeBt,7,0,1,1), " ", OFFSET(BilCodeBt,7,1,1,1)))</f>
        <v>AW04 AW O</v>
      </c>
      <c r="K170" s="56">
        <f ca="1">IF(OFFSET(BilCodeBt,7,2,1,1)&lt;&gt;"",OFFSET(BilCodeBt,7,2,1,1),"")</f>
        <v>43.64</v>
      </c>
      <c r="L170" s="56">
        <f ca="1">OFFSET(BilCodeBt,7,3,1,1)</f>
        <v>1.77</v>
      </c>
      <c r="M170" s="49">
        <f ca="1">OFFSET(BilCodeBt,7,4,1,1)</f>
        <v>7165.92</v>
      </c>
      <c r="O170" s="11" t="str">
        <f t="shared" ca="1" si="42"/>
        <v>AW04 AW O</v>
      </c>
      <c r="P170" s="11">
        <f t="shared" ca="1" si="43"/>
        <v>43.64</v>
      </c>
      <c r="Q170" s="11">
        <f t="shared" ca="1" si="44"/>
        <v>7165.92</v>
      </c>
      <c r="R170" s="89">
        <f t="shared" ca="1" si="37"/>
        <v>7.999560060858249E-2</v>
      </c>
      <c r="S170" s="89">
        <f t="shared" ca="1" si="41"/>
        <v>6.714960698393696E-2</v>
      </c>
    </row>
    <row r="171" spans="2:19" x14ac:dyDescent="0.2">
      <c r="B171" s="31"/>
      <c r="C171" s="31"/>
      <c r="D171" s="31"/>
      <c r="E171" s="31"/>
      <c r="J171" s="48" t="str">
        <f ca="1">TRIM(CONCATENATE(OFFSET(BilCodeBt,8,0,1,1), " ", OFFSET(BilCodeBt,8,1,1,1)))</f>
        <v>AW05 AW O Durchfahrt</v>
      </c>
      <c r="K171" s="56">
        <f ca="1">IF(OFFSET(BilCodeBt,8,2,1,1)&lt;&gt;"",OFFSET(BilCodeBt,8,2,1,1),"")</f>
        <v>24.68</v>
      </c>
      <c r="L171" s="56">
        <f ca="1">OFFSET(BilCodeBt,8,3,1,1)</f>
        <v>1.26</v>
      </c>
      <c r="M171" s="49">
        <f ca="1">OFFSET(BilCodeBt,8,4,1,1)</f>
        <v>2947.34</v>
      </c>
      <c r="O171" s="11" t="str">
        <f t="shared" ca="1" si="42"/>
        <v>AW05 AW O Durchfahrt</v>
      </c>
      <c r="P171" s="11">
        <f t="shared" ca="1" si="43"/>
        <v>24.68</v>
      </c>
      <c r="Q171" s="11">
        <f t="shared" ca="1" si="44"/>
        <v>2947.34</v>
      </c>
      <c r="R171" s="89">
        <f t="shared" ca="1" si="37"/>
        <v>4.5240408410169929E-2</v>
      </c>
      <c r="S171" s="89">
        <f t="shared" ca="1" si="41"/>
        <v>2.7618606214978227E-2</v>
      </c>
    </row>
    <row r="172" spans="2:19" x14ac:dyDescent="0.2">
      <c r="B172" s="31"/>
      <c r="C172" s="31"/>
      <c r="D172" s="31"/>
      <c r="E172" s="31"/>
      <c r="J172" s="48" t="str">
        <f ca="1">TRIM(CONCATENATE(OFFSET(BilCodeBt,9,0,1,1), " ", OFFSET(BilCodeBt,9,1,1,1)))</f>
        <v>AW06 AW S 1.OG</v>
      </c>
      <c r="K172" s="56">
        <f ca="1">IF(OFFSET(BilCodeBt,9,2,1,1)&lt;&gt;"",OFFSET(BilCodeBt,9,2,1,1),"")</f>
        <v>21.5</v>
      </c>
      <c r="L172" s="56">
        <f ca="1">OFFSET(BilCodeBt,9,3,1,1)</f>
        <v>1.53</v>
      </c>
      <c r="M172" s="49">
        <f ca="1">OFFSET(BilCodeBt,9,4,1,1)</f>
        <v>3077.31</v>
      </c>
      <c r="O172" s="11" t="str">
        <f t="shared" ca="1" si="42"/>
        <v>AW06 AW S 1.OG</v>
      </c>
      <c r="P172" s="11">
        <f t="shared" ca="1" si="43"/>
        <v>21.5</v>
      </c>
      <c r="Q172" s="11">
        <f t="shared" ca="1" si="44"/>
        <v>3077.31</v>
      </c>
      <c r="R172" s="89">
        <f t="shared" ca="1" si="37"/>
        <v>3.9411214781955167E-2</v>
      </c>
      <c r="S172" s="89">
        <f t="shared" ca="1" si="41"/>
        <v>2.8836514650978386E-2</v>
      </c>
    </row>
    <row r="173" spans="2:19" x14ac:dyDescent="0.2">
      <c r="B173" s="31"/>
      <c r="C173" s="31"/>
      <c r="D173" s="31"/>
      <c r="E173" s="31"/>
      <c r="J173" s="48" t="str">
        <f ca="1">TRIM(CONCATENATE(OFFSET(BilCodeBt,10,0,1,1), " ", OFFSET(BilCodeBt,10,1,1,1)))</f>
        <v>AW07 AW S 2345.OG</v>
      </c>
      <c r="K173" s="56">
        <f ca="1">IF(OFFSET(BilCodeBt,10,2,1,1)&lt;&gt;"",OFFSET(BilCodeBt,10,2,1,1),"")</f>
        <v>80.97</v>
      </c>
      <c r="L173" s="56">
        <f ca="1">OFFSET(BilCodeBt,10,3,1,1)</f>
        <v>1.77</v>
      </c>
      <c r="M173" s="49">
        <f ca="1">OFFSET(BilCodeBt,10,4,1,1)</f>
        <v>13295.71</v>
      </c>
      <c r="O173" s="11" t="str">
        <f t="shared" ca="1" si="42"/>
        <v>AW07 AW S 2345.OG</v>
      </c>
      <c r="P173" s="11">
        <f t="shared" ca="1" si="43"/>
        <v>80.97</v>
      </c>
      <c r="Q173" s="11">
        <f t="shared" ca="1" si="44"/>
        <v>13295.71</v>
      </c>
      <c r="R173" s="89">
        <f t="shared" ca="1" si="37"/>
        <v>0.14842446794860045</v>
      </c>
      <c r="S173" s="89">
        <f t="shared" ca="1" si="41"/>
        <v>0.12458996208057031</v>
      </c>
    </row>
    <row r="174" spans="2:19" x14ac:dyDescent="0.2">
      <c r="B174" s="31"/>
      <c r="C174" s="31"/>
      <c r="D174" s="31"/>
      <c r="E174" s="31"/>
      <c r="J174" s="48" t="str">
        <f ca="1">TRIM(CONCATENATE(OFFSET(BilCodeBt,11,0,1,1)," ", OFFSET(BilCodeBt,11,1,1,1)))</f>
        <v>AW08 AW S EG</v>
      </c>
      <c r="K174" s="56">
        <f ca="1">IF(OFFSET(BilCodeBt,11,2,1,1)&lt;&gt;"",OFFSET(BilCodeBt,11,2,1,1),"")</f>
        <v>21.5</v>
      </c>
      <c r="L174" s="56">
        <f ca="1">OFFSET(BilCodeBt,11,3,1,1)</f>
        <v>1.3</v>
      </c>
      <c r="M174" s="49">
        <f ca="1">OFFSET(BilCodeBt,11,4,1,1)</f>
        <v>2643.09</v>
      </c>
      <c r="O174" s="11" t="str">
        <f t="shared" ca="1" si="42"/>
        <v>AW08 AW S EG</v>
      </c>
      <c r="P174" s="11">
        <f t="shared" ca="1" si="43"/>
        <v>21.5</v>
      </c>
      <c r="Q174" s="11">
        <f t="shared" ca="1" si="44"/>
        <v>2643.09</v>
      </c>
      <c r="R174" s="89">
        <f t="shared" ca="1" si="37"/>
        <v>3.9411214781955167E-2</v>
      </c>
      <c r="S174" s="89">
        <f t="shared" ca="1" si="41"/>
        <v>2.4767574117932373E-2</v>
      </c>
    </row>
    <row r="175" spans="2:19" x14ac:dyDescent="0.2">
      <c r="B175" s="31"/>
      <c r="C175" s="31"/>
      <c r="D175" s="31"/>
      <c r="E175" s="31"/>
      <c r="F175" s="31"/>
      <c r="G175" s="31"/>
      <c r="H175" s="31"/>
      <c r="J175" s="48" t="str">
        <f ca="1">TRIM(CONCATENATE(OFFSET(BilCodeBt,12,0,1,1)," ", OFFSET(BilCodeBt,12,1,1,1)))</f>
        <v>AW09 AW W</v>
      </c>
      <c r="K175" s="56">
        <f ca="1">IF(OFFSET(BilCodeBt,12,2,1,1)&lt;&gt;"",OFFSET(BilCodeBt,12,2,1,1),"")</f>
        <v>15</v>
      </c>
      <c r="L175" s="56">
        <f ca="1">OFFSET(BilCodeBt,12,3,1,1)</f>
        <v>1.77</v>
      </c>
      <c r="M175" s="49">
        <f ca="1">OFFSET(BilCodeBt,12,4,1,1)</f>
        <v>2463.08</v>
      </c>
      <c r="O175" s="11" t="str">
        <f t="shared" ca="1" si="42"/>
        <v>AW09 AW W</v>
      </c>
      <c r="P175" s="11">
        <f t="shared" ca="1" si="43"/>
        <v>15</v>
      </c>
      <c r="Q175" s="11">
        <f t="shared" ca="1" si="44"/>
        <v>2463.08</v>
      </c>
      <c r="R175" s="89">
        <f t="shared" ca="1" si="37"/>
        <v>2.7496196359503604E-2</v>
      </c>
      <c r="S175" s="89">
        <f t="shared" ca="1" si="41"/>
        <v>2.3080756409504355E-2</v>
      </c>
    </row>
    <row r="176" spans="2:19" x14ac:dyDescent="0.2">
      <c r="B176" s="31"/>
      <c r="C176" s="31"/>
      <c r="F176" s="31"/>
      <c r="G176" s="31"/>
      <c r="H176" s="31"/>
      <c r="J176" s="48" t="str">
        <f ca="1">TRIM(CONCATENATE(OFFSET(BilCodeBt,13,0,1,1), " ", OFFSET(BilCodeBt,13,1,1,1)))</f>
        <v>AW10 AW Erdreicht TRH</v>
      </c>
      <c r="K176" s="56">
        <f ca="1">IF(OFFSET(BilCodeBt,13,2,1,1)&lt;&gt;"",OFFSET(BilCodeBt,13,2,1,1),"")</f>
        <v>3.93</v>
      </c>
      <c r="L176" s="56">
        <f ca="1">OFFSET(BilCodeBt,13,3,1,1)</f>
        <v>1.33</v>
      </c>
      <c r="M176" s="49">
        <f ca="1">OFFSET(BilCodeBt,13,4,1,1)</f>
        <v>271.42</v>
      </c>
      <c r="O176" s="11" t="str">
        <f t="shared" ca="1" si="42"/>
        <v>AW10 AW Erdreicht TRH</v>
      </c>
      <c r="P176" s="11">
        <f t="shared" ca="1" si="43"/>
        <v>3.93</v>
      </c>
      <c r="Q176" s="11">
        <f t="shared" ca="1" si="44"/>
        <v>271.42</v>
      </c>
      <c r="R176" s="89">
        <f t="shared" ca="1" si="37"/>
        <v>7.204003446189944E-3</v>
      </c>
      <c r="S176" s="89">
        <f t="shared" ca="1" si="41"/>
        <v>2.5433923805429268E-3</v>
      </c>
    </row>
    <row r="177" spans="2:19" x14ac:dyDescent="0.2">
      <c r="B177" s="31"/>
      <c r="C177" s="31"/>
      <c r="J177" s="48" t="str">
        <f ca="1">TRIM(CONCATENATE(OFFSET(BilCodeBt,14,0,1,1)," ", OFFSET(BilCodeBt,14,1,1,1)))</f>
        <v/>
      </c>
      <c r="K177" s="56" t="str">
        <f t="shared" ref="K177" ca="1" si="45">IF(OFFSET(BilCodeBt,14,2,1,1)&lt;&gt;"",OFFSET(BilCodeBt,14,2,1,1),"")</f>
        <v/>
      </c>
      <c r="L177" s="56">
        <f t="shared" ref="L177" ca="1" si="46">OFFSET(BilCodeBt,14,3,1,1)</f>
        <v>0</v>
      </c>
      <c r="M177" s="49">
        <f t="shared" ref="M177" ca="1" si="47">OFFSET(BilCodeBt,14,4,1,1)</f>
        <v>0</v>
      </c>
      <c r="O177" s="11" t="str">
        <f t="shared" ca="1" si="42"/>
        <v/>
      </c>
      <c r="P177" s="11" t="str">
        <f t="shared" ca="1" si="43"/>
        <v/>
      </c>
      <c r="Q177" s="11">
        <f t="shared" ca="1" si="44"/>
        <v>0</v>
      </c>
      <c r="R177" s="89">
        <f t="shared" ca="1" si="37"/>
        <v>0</v>
      </c>
      <c r="S177" s="89">
        <f t="shared" ca="1" si="41"/>
        <v>0</v>
      </c>
    </row>
    <row r="178" spans="2:19" x14ac:dyDescent="0.2">
      <c r="J178" s="48" t="str">
        <f ca="1">TRIM(CONCATENATE(OFFSET(BilCodeBt,15,0,1,1)," ", OFFSET(BilCodeBt,15,1,1,1)))</f>
        <v/>
      </c>
      <c r="K178" s="56" t="str">
        <f ca="1">IF(OFFSET(BilCodeBt,15,2,1,1)&lt;&gt;"",OFFSET(BilCodeBt,15,2,1,1),"")</f>
        <v/>
      </c>
      <c r="L178" s="56">
        <f ca="1">OFFSET(BilCodeBt,15,3,1,1)</f>
        <v>0</v>
      </c>
      <c r="M178" s="49">
        <f ca="1">OFFSET(BilCodeBt,15,4,1,1)</f>
        <v>0</v>
      </c>
      <c r="O178" s="11" t="str">
        <f t="shared" ca="1" si="42"/>
        <v/>
      </c>
      <c r="P178" s="11" t="str">
        <f t="shared" ca="1" si="43"/>
        <v/>
      </c>
      <c r="Q178" s="11">
        <f t="shared" ca="1" si="44"/>
        <v>0</v>
      </c>
      <c r="R178" s="89">
        <f t="shared" ca="1" si="37"/>
        <v>0</v>
      </c>
      <c r="S178" s="89">
        <f t="shared" ca="1" si="41"/>
        <v>0</v>
      </c>
    </row>
    <row r="179" spans="2:19" x14ac:dyDescent="0.2">
      <c r="J179" s="48" t="str">
        <f ca="1">TRIM(CONCATENATE(OFFSET(BilCodeBt,16,0,1,1)," ", OFFSET(BilCodeBt,16,1,1,1)))</f>
        <v/>
      </c>
      <c r="K179" s="56" t="str">
        <f ca="1">IF(OFFSET(BilCodeBt,16,2,1,1)&lt;&gt;"",OFFSET(BilCodeBt,16,2,1,1),"")</f>
        <v/>
      </c>
      <c r="L179" s="56">
        <f ca="1">OFFSET(BilCodeBt,16,3,1,1)</f>
        <v>0</v>
      </c>
      <c r="M179" s="49">
        <f ca="1">OFFSET(BilCodeBt,16,4,1,1)</f>
        <v>0</v>
      </c>
      <c r="O179" s="11" t="str">
        <f t="shared" ca="1" si="42"/>
        <v/>
      </c>
      <c r="P179" s="11" t="str">
        <f t="shared" ca="1" si="43"/>
        <v/>
      </c>
      <c r="Q179" s="11">
        <f t="shared" ca="1" si="44"/>
        <v>0</v>
      </c>
      <c r="R179" s="89">
        <f t="shared" ca="1" si="37"/>
        <v>0</v>
      </c>
      <c r="S179" s="89">
        <f t="shared" ca="1" si="41"/>
        <v>0</v>
      </c>
    </row>
    <row r="180" spans="2:19" x14ac:dyDescent="0.2">
      <c r="J180" s="48" t="str">
        <f ca="1">TRIM(CONCATENATE(OFFSET(BilCodeBt,17,0,1,1)," ", OFFSET(BilCodeBt,17,1,1,1)))</f>
        <v/>
      </c>
      <c r="K180" s="56" t="str">
        <f ca="1">IF(OFFSET(BilCodeBt,17,2,1,1)&lt;&gt;"",OFFSET(BilCodeBt,17,2,1,1),"")</f>
        <v/>
      </c>
      <c r="L180" s="56">
        <f ca="1">OFFSET(BilCodeBt,17,3,1,1)</f>
        <v>0</v>
      </c>
      <c r="M180" s="49">
        <f ca="1">OFFSET(BilCodeBt,17,4,1,1)</f>
        <v>0</v>
      </c>
      <c r="O180" s="11" t="str">
        <f t="shared" ca="1" si="42"/>
        <v/>
      </c>
      <c r="P180" s="11" t="str">
        <f t="shared" ca="1" si="43"/>
        <v/>
      </c>
      <c r="Q180" s="11">
        <f t="shared" ca="1" si="44"/>
        <v>0</v>
      </c>
      <c r="R180" s="89">
        <f t="shared" ca="1" si="37"/>
        <v>0</v>
      </c>
      <c r="S180" s="89">
        <f t="shared" ca="1" si="41"/>
        <v>0</v>
      </c>
    </row>
    <row r="181" spans="2:19" x14ac:dyDescent="0.2">
      <c r="J181" s="48" t="str">
        <f ca="1">TRIM(CONCATENATE(OFFSET(BilCodeBt,18,0,1,1)," ", OFFSET(BilCodeBt,18,1,1,1)))</f>
        <v/>
      </c>
      <c r="K181" s="56" t="str">
        <f ca="1">IF(OFFSET(BilCodeBt,18,2,1,1)&lt;&gt;"",OFFSET(BilCodeBt,18,2,1,1),"")</f>
        <v/>
      </c>
      <c r="L181" s="56">
        <f ca="1">OFFSET(BilCodeBt,18,3,1,1)</f>
        <v>0</v>
      </c>
      <c r="M181" s="49">
        <f ca="1">OFFSET(BilCodeBt,18,4,1,1)</f>
        <v>0</v>
      </c>
      <c r="O181" s="11" t="str">
        <f t="shared" ca="1" si="42"/>
        <v/>
      </c>
      <c r="P181" s="11" t="str">
        <f t="shared" ca="1" si="43"/>
        <v/>
      </c>
      <c r="Q181" s="11">
        <f t="shared" ca="1" si="44"/>
        <v>0</v>
      </c>
      <c r="R181" s="89">
        <f t="shared" ca="1" si="37"/>
        <v>0</v>
      </c>
      <c r="S181" s="89">
        <f t="shared" ca="1" si="41"/>
        <v>0</v>
      </c>
    </row>
    <row r="182" spans="2:19" x14ac:dyDescent="0.2">
      <c r="J182" s="48" t="str">
        <f ca="1">TRIM(CONCATENATE(OFFSET(BilCodeBt,19,0,1,1)," ", OFFSET(BilCodeBt,19,1,1,1)))</f>
        <v/>
      </c>
      <c r="K182" s="56" t="str">
        <f ca="1">IF(OFFSET(BilCodeBt,19,2,1,1)&lt;&gt;"",OFFSET(BilCodeBt,19,2,1,1),"")</f>
        <v/>
      </c>
      <c r="L182" s="56">
        <f ca="1">OFFSET(BilCodeBt,19,3,1,1)</f>
        <v>0</v>
      </c>
      <c r="M182" s="49">
        <f ca="1">OFFSET(BilCodeBt,19,4,1,1)</f>
        <v>0</v>
      </c>
      <c r="O182" s="11" t="str">
        <f t="shared" ca="1" si="42"/>
        <v/>
      </c>
      <c r="P182" s="11" t="str">
        <f t="shared" ca="1" si="43"/>
        <v/>
      </c>
      <c r="Q182" s="11">
        <f t="shared" ca="1" si="44"/>
        <v>0</v>
      </c>
      <c r="R182" s="89">
        <f t="shared" ca="1" si="37"/>
        <v>0</v>
      </c>
      <c r="S182" s="89">
        <f t="shared" ca="1" si="41"/>
        <v>0</v>
      </c>
    </row>
    <row r="183" spans="2:19" x14ac:dyDescent="0.2">
      <c r="J183" s="48" t="str">
        <f ca="1">TRIM(CONCATENATE(OFFSET(BilCodeBt,20,0,1,1)," ", OFFSET(BilCodeBt,20,1,1,1)))</f>
        <v/>
      </c>
      <c r="K183" s="56" t="str">
        <f ca="1">IF(OFFSET(BilCodeBt,20,2,1,1)&lt;&gt;"",OFFSET(BilCodeBt,20,2,1,1),"")</f>
        <v/>
      </c>
      <c r="L183" s="56">
        <f ca="1">OFFSET(BilCodeBt,20,3,1,1)</f>
        <v>0</v>
      </c>
      <c r="M183" s="49">
        <f ca="1">OFFSET(BilCodeBt,20,4,1,1)</f>
        <v>0</v>
      </c>
      <c r="O183" s="11" t="str">
        <f t="shared" ca="1" si="42"/>
        <v/>
      </c>
      <c r="P183" s="11" t="str">
        <f t="shared" ca="1" si="43"/>
        <v/>
      </c>
      <c r="Q183" s="11">
        <f t="shared" ca="1" si="44"/>
        <v>0</v>
      </c>
      <c r="R183" s="89">
        <f t="shared" ca="1" si="37"/>
        <v>0</v>
      </c>
      <c r="S183" s="89">
        <f t="shared" ca="1" si="41"/>
        <v>0</v>
      </c>
    </row>
    <row r="184" spans="2:19" x14ac:dyDescent="0.2">
      <c r="J184" s="48" t="str">
        <f ca="1">TRIM(CONCATENATE(OFFSET(BilCodeBt,21,0,1,1)," ", OFFSET(BilCodeBt,21,1,1,1)))</f>
        <v/>
      </c>
      <c r="K184" s="56" t="str">
        <f ca="1">IF(OFFSET(BilCodeBt,21,2,1,1)&lt;&gt;"",OFFSET(BilCodeBt,21,2,1,1),"")</f>
        <v/>
      </c>
      <c r="L184" s="56">
        <f ca="1">OFFSET(BilCodeBt,21,3,1,1)</f>
        <v>0</v>
      </c>
      <c r="M184" s="49">
        <f ca="1">OFFSET(BilCodeBt,21,4,1,1)</f>
        <v>0</v>
      </c>
      <c r="O184" s="11" t="str">
        <f t="shared" ca="1" si="42"/>
        <v/>
      </c>
      <c r="P184" s="11" t="str">
        <f t="shared" ca="1" si="43"/>
        <v/>
      </c>
      <c r="Q184" s="11">
        <f t="shared" ca="1" si="44"/>
        <v>0</v>
      </c>
      <c r="R184" s="89">
        <f t="shared" ca="1" si="37"/>
        <v>0</v>
      </c>
      <c r="S184" s="89">
        <f t="shared" ca="1" si="41"/>
        <v>0</v>
      </c>
    </row>
    <row r="185" spans="2:19" x14ac:dyDescent="0.2">
      <c r="J185" s="48" t="str">
        <f ca="1">TRIM(CONCATENATE(OFFSET(BilCodeBt,22,0,1,1)," ", OFFSET(BilCodeBt,22,1,1,1)))</f>
        <v/>
      </c>
      <c r="K185" s="56" t="str">
        <f ca="1">IF(OFFSET(BilCodeBt,22,2,1,1)&lt;&gt;"",OFFSET(BilCodeBt,22,2,1,1),"")</f>
        <v/>
      </c>
      <c r="L185" s="56">
        <f ca="1">OFFSET(BilCodeBt,22,3,1,1)</f>
        <v>0</v>
      </c>
      <c r="M185" s="49">
        <f ca="1">OFFSET(BilCodeBt,22,4,1,1)</f>
        <v>0</v>
      </c>
      <c r="O185" s="11" t="str">
        <f t="shared" ca="1" si="42"/>
        <v/>
      </c>
      <c r="P185" s="11" t="str">
        <f t="shared" ca="1" si="43"/>
        <v/>
      </c>
      <c r="Q185" s="11">
        <f t="shared" ca="1" si="44"/>
        <v>0</v>
      </c>
      <c r="R185" s="89">
        <f t="shared" ca="1" si="37"/>
        <v>0</v>
      </c>
      <c r="S185" s="89">
        <f t="shared" ca="1" si="41"/>
        <v>0</v>
      </c>
    </row>
    <row r="186" spans="2:19" x14ac:dyDescent="0.2">
      <c r="J186" s="48" t="str">
        <f ca="1">TRIM(CONCATENATE(OFFSET(BilCodeBt,23,0,1,1)," ", OFFSET(BilCodeBt,23,1,1,1)))</f>
        <v/>
      </c>
      <c r="K186" s="56" t="str">
        <f ca="1">IF(OFFSET(BilCodeBt,23,2,1,1)&lt;&gt;"",OFFSET(BilCodeBt,23,2,1,1),"")</f>
        <v/>
      </c>
      <c r="L186" s="56">
        <f ca="1">OFFSET(BilCodeBt,23,3,1,1)</f>
        <v>0</v>
      </c>
      <c r="M186" s="49">
        <f ca="1">OFFSET(BilCodeBt,23,4,1,1)</f>
        <v>0</v>
      </c>
      <c r="O186" s="11" t="str">
        <f t="shared" ca="1" si="42"/>
        <v/>
      </c>
      <c r="P186" s="11" t="str">
        <f t="shared" ca="1" si="43"/>
        <v/>
      </c>
      <c r="Q186" s="11">
        <f t="shared" ca="1" si="44"/>
        <v>0</v>
      </c>
      <c r="R186" s="89">
        <f t="shared" ca="1" si="37"/>
        <v>0</v>
      </c>
      <c r="S186" s="89">
        <f t="shared" ca="1" si="41"/>
        <v>0</v>
      </c>
    </row>
    <row r="187" spans="2:19" x14ac:dyDescent="0.2">
      <c r="J187" s="48" t="str">
        <f ca="1">TRIM(CONCATENATE(OFFSET(BilCodeBt,24,0,1,1)," ", OFFSET(BilCodeBt,24,1,1,1)))</f>
        <v/>
      </c>
      <c r="K187" s="56" t="str">
        <f ca="1">IF(OFFSET(BilCodeBt,24,2,1,1)&lt;&gt;"",OFFSET(BilCodeBt,24,2,1,1),"")</f>
        <v/>
      </c>
      <c r="L187" s="56">
        <f ca="1">OFFSET(BilCodeBt,24,3,1,1)</f>
        <v>0</v>
      </c>
      <c r="M187" s="49">
        <f ca="1">OFFSET(BilCodeBt,24,4,1,1)</f>
        <v>0</v>
      </c>
      <c r="O187" s="11" t="str">
        <f t="shared" ca="1" si="42"/>
        <v/>
      </c>
      <c r="P187" s="11" t="str">
        <f t="shared" ca="1" si="43"/>
        <v/>
      </c>
      <c r="Q187" s="11">
        <f t="shared" ca="1" si="44"/>
        <v>0</v>
      </c>
      <c r="R187" s="89">
        <f t="shared" ca="1" si="37"/>
        <v>0</v>
      </c>
      <c r="S187" s="89">
        <f t="shared" ca="1" si="41"/>
        <v>0</v>
      </c>
    </row>
    <row r="188" spans="2:19" x14ac:dyDescent="0.2">
      <c r="J188" s="48" t="str">
        <f ca="1">TRIM(CONCATENATE(OFFSET(BilCodeBt,25,0,1,1)," ", OFFSET(BilCodeBt,25,1,1,1)))</f>
        <v/>
      </c>
      <c r="K188" s="56" t="str">
        <f ca="1">IF(OFFSET(BilCodeBt,25,2,1,1)&lt;&gt;"",OFFSET(BilCodeBt,25,2,1,1),"")</f>
        <v/>
      </c>
      <c r="L188" s="56">
        <f ca="1">OFFSET(BilCodeBt,25,3,1,1)</f>
        <v>0</v>
      </c>
      <c r="M188" s="49">
        <f ca="1">OFFSET(BilCodeBt,25,4,1,1)</f>
        <v>0</v>
      </c>
      <c r="O188" s="11" t="str">
        <f t="shared" ca="1" si="42"/>
        <v/>
      </c>
      <c r="P188" s="11" t="str">
        <f t="shared" ca="1" si="43"/>
        <v/>
      </c>
      <c r="Q188" s="11">
        <f t="shared" ca="1" si="44"/>
        <v>0</v>
      </c>
      <c r="R188" s="89">
        <f t="shared" ca="1" si="37"/>
        <v>0</v>
      </c>
      <c r="S188" s="89">
        <f ca="1">Q188/SUM($Q$163:$Q$192)</f>
        <v>0</v>
      </c>
    </row>
    <row r="189" spans="2:19" x14ac:dyDescent="0.2">
      <c r="J189" s="48" t="str">
        <f ca="1">TRIM(CONCATENATE(OFFSET(BilCodeBt,26,0,1,1)," ", OFFSET(BilCodeBt,26,1,1,1)))</f>
        <v/>
      </c>
      <c r="K189" s="56" t="str">
        <f ca="1">IF(OFFSET(BilCodeBt,26,2,1,1)&lt;&gt;"",OFFSET(BilCodeBt,26,2,1,1),"")</f>
        <v/>
      </c>
      <c r="L189" s="56">
        <f ca="1">OFFSET(BilCodeBt,26,3,1,1)</f>
        <v>0</v>
      </c>
      <c r="M189" s="49">
        <f ca="1">OFFSET(BilCodeBt,26,4,1,1)</f>
        <v>0</v>
      </c>
      <c r="O189" s="11" t="str">
        <f t="shared" ca="1" si="42"/>
        <v/>
      </c>
      <c r="P189" s="11" t="str">
        <f t="shared" ca="1" si="43"/>
        <v/>
      </c>
      <c r="Q189" s="11">
        <f t="shared" ca="1" si="44"/>
        <v>0</v>
      </c>
      <c r="R189" s="89">
        <f t="shared" ca="1" si="37"/>
        <v>0</v>
      </c>
      <c r="S189" s="89">
        <f t="shared" ca="1" si="41"/>
        <v>0</v>
      </c>
    </row>
    <row r="190" spans="2:19" x14ac:dyDescent="0.2">
      <c r="J190" s="48" t="str">
        <f ca="1">TRIM(CONCATENATE(OFFSET(BilCodeBt,27,0,1,1)," ", OFFSET(BilCodeBt,27,1,1,1)))</f>
        <v/>
      </c>
      <c r="K190" s="56" t="str">
        <f ca="1">IF(OFFSET(BilCodeBt,27,2,1,1)&lt;&gt;"",OFFSET(BilCodeBt,27,2,1,1),"")</f>
        <v/>
      </c>
      <c r="L190" s="56">
        <f ca="1">OFFSET(BilCodeBt,27,3,1,1)</f>
        <v>0</v>
      </c>
      <c r="M190" s="49">
        <f ca="1">OFFSET(BilCodeBt,27,4,1,1)</f>
        <v>0</v>
      </c>
      <c r="O190" s="11" t="str">
        <f t="shared" ca="1" si="42"/>
        <v/>
      </c>
      <c r="P190" s="11" t="str">
        <f t="shared" ca="1" si="43"/>
        <v/>
      </c>
      <c r="Q190" s="11">
        <f t="shared" ca="1" si="44"/>
        <v>0</v>
      </c>
      <c r="R190" s="89">
        <f t="shared" ca="1" si="37"/>
        <v>0</v>
      </c>
      <c r="S190" s="89">
        <f t="shared" ca="1" si="41"/>
        <v>0</v>
      </c>
    </row>
    <row r="191" spans="2:19" x14ac:dyDescent="0.2">
      <c r="J191" s="48" t="str">
        <f ca="1">TRIM(CONCATENATE(OFFSET(BilCodeBt,28,0,1,1)," ", OFFSET(BilCodeBt,28,1,1,1)))</f>
        <v/>
      </c>
      <c r="K191" s="56" t="str">
        <f ca="1">IF(OFFSET(BilCodeBt,28,2,1,1)&lt;&gt;"",OFFSET(BilCodeBt,28,2,1,1),"")</f>
        <v/>
      </c>
      <c r="L191" s="56">
        <f ca="1">OFFSET(BilCodeBt,28,3,1,1)</f>
        <v>0</v>
      </c>
      <c r="M191" s="49">
        <f ca="1">OFFSET(BilCodeBt,28,4,1,1)</f>
        <v>0</v>
      </c>
      <c r="O191" s="11" t="str">
        <f t="shared" ca="1" si="42"/>
        <v/>
      </c>
      <c r="P191" s="11" t="str">
        <f t="shared" ca="1" si="43"/>
        <v/>
      </c>
      <c r="Q191" s="11">
        <f t="shared" ca="1" si="44"/>
        <v>0</v>
      </c>
      <c r="R191" s="89">
        <f t="shared" ca="1" si="37"/>
        <v>0</v>
      </c>
      <c r="S191" s="89">
        <f t="shared" ca="1" si="41"/>
        <v>0</v>
      </c>
    </row>
    <row r="192" spans="2:19" x14ac:dyDescent="0.2">
      <c r="J192" s="48" t="str">
        <f ca="1">TRIM(CONCATENATE(OFFSET(BilCodeBt,29,0,1,1)," ", OFFSET(BilCodeBt,29,1,1,1)))</f>
        <v/>
      </c>
      <c r="K192" s="56" t="str">
        <f ca="1">IF(OFFSET(BilCodeBt,29,2,1,1)&lt;&gt;"",OFFSET(BilCodeBt,29,2,1,1),"")</f>
        <v/>
      </c>
      <c r="L192" s="56">
        <f ca="1">OFFSET(BilCodeBt,29,3,1,1)</f>
        <v>0</v>
      </c>
      <c r="M192" s="49">
        <f ca="1">OFFSET(BilCodeBt,29,4,1,1)</f>
        <v>0</v>
      </c>
      <c r="O192" s="11" t="str">
        <f t="shared" ca="1" si="42"/>
        <v/>
      </c>
      <c r="P192" s="11" t="str">
        <f t="shared" ca="1" si="43"/>
        <v/>
      </c>
      <c r="Q192" s="11">
        <f t="shared" ca="1" si="44"/>
        <v>0</v>
      </c>
      <c r="R192" s="89">
        <f t="shared" ca="1" si="37"/>
        <v>0</v>
      </c>
      <c r="S192" s="89">
        <f t="shared" ca="1" si="41"/>
        <v>0</v>
      </c>
    </row>
    <row r="193" spans="1:17" x14ac:dyDescent="0.2">
      <c r="J193" s="65"/>
      <c r="K193" s="67"/>
      <c r="L193" s="67"/>
    </row>
    <row r="194" spans="1:17" x14ac:dyDescent="0.2">
      <c r="A194" s="3" t="s">
        <v>134</v>
      </c>
      <c r="N194" s="88" t="s">
        <v>112</v>
      </c>
      <c r="O194" s="53"/>
      <c r="P194" s="69">
        <f>P195+P196+P197+P198</f>
        <v>46309.881999999998</v>
      </c>
      <c r="Q194" s="53" t="s">
        <v>33</v>
      </c>
    </row>
    <row r="195" spans="1:17" x14ac:dyDescent="0.2">
      <c r="N195" s="32"/>
      <c r="O195" s="86" t="s">
        <v>120</v>
      </c>
      <c r="P195" s="70">
        <f>BilWärmesenkHT</f>
        <v>14</v>
      </c>
      <c r="Q195" s="58" t="s">
        <v>33</v>
      </c>
    </row>
    <row r="196" spans="1:17" x14ac:dyDescent="0.2">
      <c r="J196" s="65"/>
      <c r="N196" s="32"/>
      <c r="O196" s="34" t="s">
        <v>121</v>
      </c>
      <c r="P196" s="49">
        <f>BilWärmesenkHV</f>
        <v>44754.17</v>
      </c>
      <c r="Q196" s="60" t="s">
        <v>33</v>
      </c>
    </row>
    <row r="197" spans="1:17" x14ac:dyDescent="0.2">
      <c r="J197" s="65"/>
      <c r="N197" s="32"/>
      <c r="O197" s="34" t="s">
        <v>122</v>
      </c>
      <c r="P197" s="49">
        <f>BilWärmesenkI</f>
        <v>0</v>
      </c>
      <c r="Q197" s="60" t="s">
        <v>33</v>
      </c>
    </row>
    <row r="198" spans="1:17" x14ac:dyDescent="0.2">
      <c r="N198" s="87"/>
      <c r="O198" s="86" t="s">
        <v>123</v>
      </c>
      <c r="P198" s="70">
        <f>BilWärmesenkS</f>
        <v>1541.712</v>
      </c>
      <c r="Q198" s="58" t="s">
        <v>33</v>
      </c>
    </row>
    <row r="199" spans="1:17" x14ac:dyDescent="0.2">
      <c r="N199" s="88" t="s">
        <v>114</v>
      </c>
      <c r="O199" s="53"/>
      <c r="P199" s="69">
        <f>P200++P201+P202+P203</f>
        <v>115035.493</v>
      </c>
      <c r="Q199" s="53" t="s">
        <v>33</v>
      </c>
    </row>
    <row r="200" spans="1:17" x14ac:dyDescent="0.2">
      <c r="N200" s="32"/>
      <c r="O200" s="86" t="s">
        <v>120</v>
      </c>
      <c r="P200" s="70">
        <f>BilWärmequellHT</f>
        <v>0</v>
      </c>
      <c r="Q200" s="58" t="s">
        <v>33</v>
      </c>
    </row>
    <row r="201" spans="1:17" x14ac:dyDescent="0.2">
      <c r="N201" s="32"/>
      <c r="O201" s="34" t="s">
        <v>121</v>
      </c>
      <c r="P201" s="49">
        <f>BilWärmequellHV</f>
        <v>0</v>
      </c>
      <c r="Q201" s="60" t="s">
        <v>33</v>
      </c>
    </row>
    <row r="202" spans="1:17" x14ac:dyDescent="0.2">
      <c r="N202" s="32"/>
      <c r="O202" s="34" t="s">
        <v>124</v>
      </c>
      <c r="P202" s="49">
        <f>BilWärmequellI</f>
        <v>68433.226999999999</v>
      </c>
      <c r="Q202" s="60" t="s">
        <v>33</v>
      </c>
    </row>
    <row r="203" spans="1:17" x14ac:dyDescent="0.2">
      <c r="N203" s="87"/>
      <c r="O203" s="86" t="s">
        <v>125</v>
      </c>
      <c r="P203" s="70">
        <f>BilWärmequellS</f>
        <v>46602.266000000003</v>
      </c>
      <c r="Q203" s="58" t="s">
        <v>33</v>
      </c>
    </row>
    <row r="204" spans="1:17" x14ac:dyDescent="0.2">
      <c r="N204" s="88" t="s">
        <v>129</v>
      </c>
      <c r="O204" s="53"/>
      <c r="P204" s="69">
        <f>P205+P206</f>
        <v>106300.428</v>
      </c>
      <c r="Q204" s="53" t="s">
        <v>33</v>
      </c>
    </row>
    <row r="205" spans="1:17" x14ac:dyDescent="0.2">
      <c r="N205" s="32"/>
      <c r="O205" s="86" t="s">
        <v>98</v>
      </c>
      <c r="P205" s="70">
        <f>BilNutzH</f>
        <v>95330.8</v>
      </c>
      <c r="Q205" s="58" t="s">
        <v>33</v>
      </c>
    </row>
    <row r="206" spans="1:17" x14ac:dyDescent="0.2">
      <c r="N206" s="87"/>
      <c r="O206" s="86" t="s">
        <v>99</v>
      </c>
      <c r="P206" s="70">
        <f>BilNutzW</f>
        <v>10969.628000000001</v>
      </c>
      <c r="Q206" s="58" t="s">
        <v>33</v>
      </c>
    </row>
    <row r="207" spans="1:17" x14ac:dyDescent="0.2">
      <c r="N207" s="88" t="s">
        <v>126</v>
      </c>
      <c r="O207" s="53"/>
      <c r="P207" s="69">
        <f>P208+P209</f>
        <v>56015.014999999999</v>
      </c>
      <c r="Q207" s="53" t="s">
        <v>33</v>
      </c>
    </row>
    <row r="208" spans="1:17" x14ac:dyDescent="0.2">
      <c r="N208" s="87"/>
      <c r="O208" s="86" t="s">
        <v>98</v>
      </c>
      <c r="P208" s="70">
        <f>BilErzeugerabgHC+BilErzeugerabgHD+BilErzeugerabgHS</f>
        <v>56015.014999999999</v>
      </c>
      <c r="Q208" s="58" t="s">
        <v>33</v>
      </c>
    </row>
    <row r="209" spans="14:17" x14ac:dyDescent="0.2">
      <c r="N209" s="87"/>
      <c r="O209" s="86" t="s">
        <v>99</v>
      </c>
      <c r="P209" s="70">
        <f>BilErzeugerabgWD+BilErzeugerabgWS</f>
        <v>0</v>
      </c>
      <c r="Q209" s="58" t="s">
        <v>33</v>
      </c>
    </row>
    <row r="210" spans="14:17" x14ac:dyDescent="0.2">
      <c r="N210" s="88" t="s">
        <v>102</v>
      </c>
      <c r="O210" s="53"/>
      <c r="P210" s="69">
        <f>P211+P212</f>
        <v>162315.44500000001</v>
      </c>
      <c r="Q210" s="53" t="s">
        <v>33</v>
      </c>
    </row>
    <row r="211" spans="14:17" x14ac:dyDescent="0.2">
      <c r="N211" s="32"/>
      <c r="O211" s="86" t="s">
        <v>98</v>
      </c>
      <c r="P211" s="70">
        <f>BilErzeugerabgH</f>
        <v>151345.81700000001</v>
      </c>
      <c r="Q211" s="58" t="s">
        <v>33</v>
      </c>
    </row>
    <row r="212" spans="14:17" x14ac:dyDescent="0.2">
      <c r="N212" s="87"/>
      <c r="O212" s="86" t="s">
        <v>99</v>
      </c>
      <c r="P212" s="70">
        <f>BilErzeugerabgW</f>
        <v>10969.628000000001</v>
      </c>
      <c r="Q212" s="58" t="s">
        <v>33</v>
      </c>
    </row>
    <row r="213" spans="14:17" x14ac:dyDescent="0.2">
      <c r="N213" s="88" t="s">
        <v>127</v>
      </c>
      <c r="O213" s="53"/>
      <c r="P213" s="69">
        <f>P214+P215</f>
        <v>109.696</v>
      </c>
      <c r="Q213" s="53" t="s">
        <v>33</v>
      </c>
    </row>
    <row r="214" spans="14:17" x14ac:dyDescent="0.2">
      <c r="N214" s="32"/>
      <c r="O214" s="34" t="s">
        <v>98</v>
      </c>
      <c r="P214" s="70">
        <f>BilEndenergieHGEN</f>
        <v>0</v>
      </c>
      <c r="Q214" s="58" t="s">
        <v>33</v>
      </c>
    </row>
    <row r="215" spans="14:17" x14ac:dyDescent="0.2">
      <c r="N215" s="87"/>
      <c r="O215" s="86" t="s">
        <v>99</v>
      </c>
      <c r="P215" s="70">
        <f>BilEndenergieWGEN</f>
        <v>109.696</v>
      </c>
      <c r="Q215" s="58" t="s">
        <v>33</v>
      </c>
    </row>
    <row r="216" spans="14:17" x14ac:dyDescent="0.2">
      <c r="N216" s="88" t="s">
        <v>106</v>
      </c>
      <c r="O216" s="53"/>
      <c r="P216" s="69">
        <f>P217+P218</f>
        <v>162425.141</v>
      </c>
      <c r="Q216" s="53" t="s">
        <v>33</v>
      </c>
    </row>
    <row r="217" spans="14:17" x14ac:dyDescent="0.2">
      <c r="N217" s="32"/>
      <c r="O217" s="86" t="s">
        <v>98</v>
      </c>
      <c r="P217" s="70">
        <f>BilEndenergieHF</f>
        <v>151345.81700000001</v>
      </c>
      <c r="Q217" s="58" t="s">
        <v>33</v>
      </c>
    </row>
    <row r="218" spans="14:17" x14ac:dyDescent="0.2">
      <c r="N218" s="87"/>
      <c r="O218" s="86" t="s">
        <v>99</v>
      </c>
      <c r="P218" s="70">
        <f>BilEndenergieWF</f>
        <v>11079.324000000001</v>
      </c>
      <c r="Q218" s="58" t="s">
        <v>33</v>
      </c>
    </row>
    <row r="219" spans="14:17" x14ac:dyDescent="0.2">
      <c r="N219" s="88" t="s">
        <v>128</v>
      </c>
      <c r="O219" s="53"/>
      <c r="P219" s="69">
        <f>P220+P221</f>
        <v>0</v>
      </c>
      <c r="Q219" s="53" t="s">
        <v>33</v>
      </c>
    </row>
    <row r="220" spans="14:17" x14ac:dyDescent="0.2">
      <c r="N220" s="32"/>
      <c r="O220" s="86" t="s">
        <v>98</v>
      </c>
      <c r="P220" s="70">
        <f>MAX(0,P211-P217)</f>
        <v>0</v>
      </c>
      <c r="Q220" s="58" t="s">
        <v>33</v>
      </c>
    </row>
    <row r="221" spans="14:17" x14ac:dyDescent="0.2">
      <c r="N221" s="87"/>
      <c r="O221" s="86" t="s">
        <v>99</v>
      </c>
      <c r="P221" s="70">
        <f>MAX(0,P212-P218)</f>
        <v>0</v>
      </c>
      <c r="Q221" s="58" t="s">
        <v>33</v>
      </c>
    </row>
    <row r="222" spans="14:17" x14ac:dyDescent="0.2">
      <c r="N222" s="88" t="s">
        <v>108</v>
      </c>
      <c r="O222" s="53"/>
      <c r="P222" s="69">
        <f>P223+P224</f>
        <v>1442.433</v>
      </c>
      <c r="Q222" s="53" t="s">
        <v>33</v>
      </c>
    </row>
    <row r="223" spans="14:17" x14ac:dyDescent="0.2">
      <c r="N223" s="87"/>
      <c r="O223" s="86" t="s">
        <v>98</v>
      </c>
      <c r="P223" s="70">
        <f>BilHilfsenergieHCE+BilHilfsenergieHD+BilHilfsenergieHS+BilHilfsenergieHGEN</f>
        <v>1442.433</v>
      </c>
      <c r="Q223" s="58" t="s">
        <v>33</v>
      </c>
    </row>
    <row r="224" spans="14:17" x14ac:dyDescent="0.2">
      <c r="N224" s="87"/>
      <c r="O224" s="86" t="s">
        <v>99</v>
      </c>
      <c r="P224" s="70">
        <f>BilHilfsenergieWD+BilHilfsenergieWS+BilHilfsenergieWGEN</f>
        <v>0</v>
      </c>
      <c r="Q224" s="58" t="s">
        <v>33</v>
      </c>
    </row>
    <row r="227" spans="1:23" x14ac:dyDescent="0.2">
      <c r="A227" s="3" t="s">
        <v>165</v>
      </c>
    </row>
    <row r="228" spans="1:23" x14ac:dyDescent="0.2">
      <c r="B228" s="65"/>
      <c r="C228" s="66"/>
      <c r="D228" s="66"/>
      <c r="E228" s="66"/>
      <c r="F228" s="66"/>
      <c r="R228" s="71"/>
      <c r="S228" s="72" t="s">
        <v>130</v>
      </c>
      <c r="T228" s="72"/>
      <c r="U228" s="68"/>
      <c r="V228" s="68" t="s">
        <v>131</v>
      </c>
      <c r="W228" s="68" t="s">
        <v>151</v>
      </c>
    </row>
    <row r="229" spans="1:23" x14ac:dyDescent="0.2">
      <c r="B229" s="65"/>
      <c r="C229" s="65"/>
      <c r="D229" s="65"/>
      <c r="E229" s="66"/>
      <c r="F229" s="66"/>
      <c r="R229" s="39"/>
      <c r="S229" s="40"/>
      <c r="T229" s="40"/>
      <c r="U229" s="42"/>
      <c r="V229" s="62" t="s">
        <v>36</v>
      </c>
      <c r="W229" s="62" t="s">
        <v>132</v>
      </c>
    </row>
    <row r="230" spans="1:23" x14ac:dyDescent="0.2">
      <c r="B230" s="65"/>
      <c r="C230" s="65"/>
      <c r="D230" s="65"/>
      <c r="E230" s="67"/>
      <c r="F230" s="67"/>
      <c r="R230" s="63" t="str">
        <f ca="1">OFFSET(ModEtBez,0,0,1,1)</f>
        <v>Strom</v>
      </c>
      <c r="S230" s="59"/>
      <c r="T230" s="57"/>
      <c r="U230" s="58"/>
      <c r="V230" s="64">
        <f ca="1">OFFSET(ModEtBez,1,0,1,1)</f>
        <v>0</v>
      </c>
      <c r="W230" s="64">
        <f ca="1">OFFSET(ModEtBez,2,0,1,1)</f>
        <v>28.4</v>
      </c>
    </row>
    <row r="231" spans="1:23" x14ac:dyDescent="0.2">
      <c r="B231" s="65"/>
      <c r="C231" s="65"/>
      <c r="D231" s="65"/>
      <c r="E231" s="67"/>
      <c r="F231" s="67"/>
      <c r="R231" s="63" t="str">
        <f ca="1">IF(OFFSET(ModEtBez,0,1,1,1)&lt;&gt;"",OFFSET(ModEtBez,0,1,1,1),"")</f>
        <v>Erdgas</v>
      </c>
      <c r="S231" s="59"/>
      <c r="T231" s="59"/>
      <c r="U231" s="60"/>
      <c r="V231" s="56">
        <f ca="1">OFFSET(ModEtBez,1,1,1,1)</f>
        <v>0</v>
      </c>
      <c r="W231" s="56">
        <f ca="1">OFFSET(ModEtBez,2,1,1,1)</f>
        <v>8.5</v>
      </c>
    </row>
    <row r="232" spans="1:23" x14ac:dyDescent="0.2">
      <c r="B232" s="65"/>
      <c r="C232" s="65"/>
      <c r="D232" s="65"/>
      <c r="E232" s="67"/>
      <c r="F232" s="67"/>
      <c r="R232" s="63" t="str">
        <f ca="1">IF(OFFSET(ModEtBez,0,2,1,1)&lt;&gt;"",OFFSET(ModEtBez,0,2,1,1),"")</f>
        <v/>
      </c>
      <c r="S232" s="59"/>
      <c r="T232" s="59"/>
      <c r="U232" s="60"/>
      <c r="V232" s="56">
        <f ca="1">OFFSET(ModEtBez,1,2,1,1)</f>
        <v>0</v>
      </c>
      <c r="W232" s="56">
        <f ca="1">OFFSET(ModEtBez,2,2,1,1)</f>
        <v>0</v>
      </c>
    </row>
    <row r="233" spans="1:23" x14ac:dyDescent="0.2">
      <c r="B233" s="65"/>
      <c r="C233" s="65"/>
      <c r="D233" s="65"/>
      <c r="E233" s="67"/>
      <c r="F233" s="67"/>
      <c r="R233" s="63" t="str">
        <f ca="1">IF(OFFSET(ModEtBez,0,3,1,1)&lt;&gt;"",OFFSET(ModEtBez,0,3,1,1),"")</f>
        <v/>
      </c>
      <c r="S233" s="59"/>
      <c r="T233" s="59"/>
      <c r="U233" s="60"/>
      <c r="V233" s="56">
        <f ca="1">OFFSET(ModEtBez,1,13,1,1)</f>
        <v>0</v>
      </c>
      <c r="W233" s="56">
        <f ca="1">OFFSET(ModEtBez,2,3,1,1)</f>
        <v>0</v>
      </c>
    </row>
    <row r="234" spans="1:23" x14ac:dyDescent="0.2">
      <c r="B234" s="65"/>
      <c r="C234" s="65"/>
      <c r="D234" s="65"/>
      <c r="E234" s="67"/>
      <c r="F234" s="67"/>
      <c r="R234" s="63" t="str">
        <f ca="1">IF(OFFSET(ModEtBez,0,4,1,1)&lt;&gt;"",OFFSET(ModEtBez,0,4,1,1),"")</f>
        <v/>
      </c>
      <c r="S234" s="59"/>
      <c r="T234" s="59"/>
      <c r="U234" s="60"/>
      <c r="V234" s="56">
        <f ca="1">OFFSET(ModEtBez,1,4,1,1)</f>
        <v>0</v>
      </c>
      <c r="W234" s="56">
        <f ca="1">OFFSET(ModEtBez,2,4,1,1)</f>
        <v>0</v>
      </c>
    </row>
    <row r="235" spans="1:23" x14ac:dyDescent="0.2">
      <c r="B235" s="65"/>
      <c r="C235" s="65"/>
      <c r="D235" s="65"/>
      <c r="E235" s="67"/>
      <c r="F235" s="67"/>
      <c r="R235" s="63" t="str">
        <f ca="1">IF(OFFSET(ModEtBez,0,5,1,1)&lt;&gt;"",OFFSET(ModEtBez,0,5,1,1),"")</f>
        <v/>
      </c>
      <c r="S235" s="59"/>
      <c r="T235" s="59"/>
      <c r="U235" s="60"/>
      <c r="V235" s="56">
        <f ca="1">OFFSET(ModEtBez,1,5,1,1)</f>
        <v>0</v>
      </c>
      <c r="W235" s="56">
        <f ca="1">OFFSET(ModEtBez,2,5,1,1)</f>
        <v>0</v>
      </c>
    </row>
    <row r="236" spans="1:23" x14ac:dyDescent="0.2">
      <c r="B236" s="65"/>
      <c r="C236" s="65"/>
      <c r="D236" s="65"/>
      <c r="E236" s="67"/>
      <c r="F236" s="67"/>
      <c r="R236" s="63" t="str">
        <f ca="1">IF(OFFSET(ModEtBez,0,6,1,1)&lt;&gt;"",OFFSET(ModEtBez,0,6,1,1),"")</f>
        <v/>
      </c>
      <c r="S236" s="59"/>
      <c r="T236" s="59"/>
      <c r="U236" s="60"/>
      <c r="V236" s="56">
        <f ca="1">OFFSET(ModEtBez,1,6,1,1)</f>
        <v>0</v>
      </c>
      <c r="W236" s="56">
        <f ca="1">OFFSET(ModEtBez,2,6,1,1)</f>
        <v>0</v>
      </c>
    </row>
    <row r="237" spans="1:23" x14ac:dyDescent="0.2">
      <c r="B237" s="65"/>
      <c r="C237" s="65"/>
      <c r="D237" s="65"/>
      <c r="E237" s="67"/>
      <c r="F237" s="67"/>
      <c r="R237" s="63" t="str">
        <f ca="1">IF(OFFSET(ModEtBez,0,7,1,1)&lt;&gt;"",OFFSET(ModEtBez,0,7,1,1),"")</f>
        <v/>
      </c>
      <c r="S237" s="59"/>
      <c r="T237" s="59"/>
      <c r="U237" s="60"/>
      <c r="V237" s="56">
        <f ca="1">OFFSET(ModEtBez,1,7,1,1)</f>
        <v>0</v>
      </c>
      <c r="W237" s="56">
        <f ca="1">OFFSET(ModEtBez,2,7,1,1)</f>
        <v>0</v>
      </c>
    </row>
    <row r="238" spans="1:23" x14ac:dyDescent="0.2">
      <c r="B238" s="65"/>
      <c r="C238" s="65"/>
      <c r="D238" s="65"/>
      <c r="E238" s="67"/>
      <c r="F238" s="67"/>
      <c r="R238" s="63" t="str">
        <f ca="1">IF(OFFSET(ModEtBez,0,8,1,1)&lt;&gt;"",OFFSET(ModEtBez,0,8,1,1),"")</f>
        <v/>
      </c>
      <c r="S238" s="59"/>
      <c r="T238" s="59"/>
      <c r="U238" s="60"/>
      <c r="V238" s="56">
        <f ca="1">OFFSET(ModEtBez,1,8,1,1)</f>
        <v>0</v>
      </c>
      <c r="W238" s="56">
        <f ca="1">OFFSET(ModEtBez,2,18,1,1)</f>
        <v>0</v>
      </c>
    </row>
    <row r="239" spans="1:23" x14ac:dyDescent="0.2">
      <c r="B239" s="65"/>
      <c r="C239" s="65"/>
      <c r="D239" s="65"/>
      <c r="E239" s="67"/>
      <c r="F239" s="67"/>
      <c r="R239" s="63" t="str">
        <f ca="1">IF(OFFSET(ModEtBez,0,9,1,1)&lt;&gt;"",OFFSET(ModEtBez,0,9,1,1),"")</f>
        <v/>
      </c>
      <c r="S239" s="59"/>
      <c r="T239" s="59"/>
      <c r="U239" s="60"/>
      <c r="V239" s="56">
        <f ca="1">OFFSET(ModEtBez,1,9,1,1)</f>
        <v>0</v>
      </c>
      <c r="W239" s="56">
        <f ca="1">OFFSET(ModEtBez,2,9,1,1)</f>
        <v>0</v>
      </c>
    </row>
    <row r="241" spans="1:31" x14ac:dyDescent="0.2">
      <c r="A241" s="3" t="s">
        <v>175</v>
      </c>
      <c r="X241" s="52" t="s">
        <v>176</v>
      </c>
      <c r="Y241" s="73" t="s">
        <v>52</v>
      </c>
      <c r="Z241" s="52" t="s">
        <v>169</v>
      </c>
      <c r="AA241" s="52" t="s">
        <v>170</v>
      </c>
      <c r="AC241" s="52" t="s">
        <v>176</v>
      </c>
      <c r="AD241" s="52" t="s">
        <v>177</v>
      </c>
      <c r="AE241" s="52" t="s">
        <v>178</v>
      </c>
    </row>
    <row r="242" spans="1:31" x14ac:dyDescent="0.2">
      <c r="T242" s="75" t="s">
        <v>176</v>
      </c>
      <c r="U242" s="75" t="s">
        <v>52</v>
      </c>
      <c r="X242" s="74"/>
      <c r="Y242" s="52" t="s">
        <v>56</v>
      </c>
      <c r="Z242" s="52" t="s">
        <v>179</v>
      </c>
      <c r="AA242" s="52" t="s">
        <v>179</v>
      </c>
      <c r="AC242" s="52"/>
      <c r="AD242" s="52" t="s">
        <v>180</v>
      </c>
      <c r="AE242" s="52" t="s">
        <v>181</v>
      </c>
    </row>
    <row r="243" spans="1:31" x14ac:dyDescent="0.2">
      <c r="T243" s="75" t="str">
        <f ca="1">X243</f>
        <v>1 Referenzobjekt MFH</v>
      </c>
      <c r="U243" s="76">
        <f ca="1">Y243</f>
        <v>1229.0899999999999</v>
      </c>
      <c r="X243" s="75" t="str">
        <f ca="1">CONCATENATE(OFFSET(ZonNummer,0,0,1,1), " ", OFFSET(ZonNummer,0,1,1,1))</f>
        <v>1 Referenzobjekt MFH</v>
      </c>
      <c r="Y243" s="77">
        <f ca="1">OFFSET(ZonNummer,0,4,1,1)</f>
        <v>1229.0899999999999</v>
      </c>
      <c r="Z243" s="77">
        <f ca="1">OFFSET(ZonNummer,0,5,1,1)</f>
        <v>3380</v>
      </c>
      <c r="AA243" s="77">
        <f ca="1">OFFSET(ZonNummer,0,6,1,1)</f>
        <v>2704</v>
      </c>
      <c r="AC243" s="75" t="str">
        <f ca="1">CONCATENATE(OFFSET(ZonNummer,0,0,1,1), " ", OFFSET(ZonNummer,0,1,1,1))</f>
        <v>1 Referenzobjekt MFH</v>
      </c>
      <c r="AD243" s="78" t="str">
        <f ca="1">OFFSET(ZonNummer,0,7,1,1)</f>
        <v>nur Heizung</v>
      </c>
      <c r="AE243" s="78" t="str">
        <f ca="1">OFFSET(ZonNummer,0,8,1,1)</f>
        <v>keine Luftaufbereitung</v>
      </c>
    </row>
    <row r="244" spans="1:31" x14ac:dyDescent="0.2">
      <c r="T244" s="75" t="str">
        <f t="shared" ref="T244:T293" ca="1" si="48">X244</f>
        <v/>
      </c>
      <c r="U244" s="76">
        <f t="shared" ref="U244:U293" ca="1" si="49">Y244</f>
        <v>0</v>
      </c>
      <c r="X244" s="75" t="str">
        <f ca="1">IF(OFFSET(ZonNummer,1,0,1,1)&lt;&gt;"",CONCATENATE(OFFSET(ZonNummer,1,0,1,1)," ",OFFSET(ZonNummer,1,1,1,1)),"")</f>
        <v/>
      </c>
      <c r="Y244" s="77">
        <f ca="1">OFFSET(ZonNummer,1,4,1,1)</f>
        <v>0</v>
      </c>
      <c r="Z244" s="77">
        <f ca="1">OFFSET(ZonNummer,1,5,1,1)</f>
        <v>0</v>
      </c>
      <c r="AA244" s="77">
        <f ca="1">OFFSET(ZonNummer,1,6,1,1)</f>
        <v>0</v>
      </c>
      <c r="AC244" s="75" t="str">
        <f ca="1">IF(OFFSET(ZonNummer,1,0,1,1)&lt;&gt;"",CONCATENATE(OFFSET(ZonNummer,1,0,1,1)," ",OFFSET(ZonNummer,1,1,1,1)),"")</f>
        <v/>
      </c>
      <c r="AD244" s="78">
        <f ca="1">OFFSET(ZonNummer,1,7,1,1)</f>
        <v>0</v>
      </c>
      <c r="AE244" s="78">
        <f ca="1">OFFSET(ZonNummer,1,8,1,1)</f>
        <v>0</v>
      </c>
    </row>
    <row r="245" spans="1:31" x14ac:dyDescent="0.2">
      <c r="T245" s="75" t="str">
        <f t="shared" ca="1" si="48"/>
        <v/>
      </c>
      <c r="U245" s="76">
        <f t="shared" ca="1" si="49"/>
        <v>0</v>
      </c>
      <c r="X245" s="75" t="str">
        <f ca="1">IF(OFFSET(ZonNummer,2,0,1,1)&lt;&gt;"",CONCATENATE(OFFSET(ZonNummer,2,0,1,1)," ",OFFSET(ZonNummer,2,1,1,1)),"")</f>
        <v/>
      </c>
      <c r="Y245" s="77">
        <f ca="1">OFFSET(ZonNummer,2,4,1,1)</f>
        <v>0</v>
      </c>
      <c r="Z245" s="77">
        <f ca="1">OFFSET(ZonNummer,2,5,1,1)</f>
        <v>0</v>
      </c>
      <c r="AA245" s="77">
        <f ca="1">OFFSET(ZonNummer,2,6,1,1)</f>
        <v>0</v>
      </c>
      <c r="AC245" s="75" t="str">
        <f ca="1">IF(OFFSET(ZonNummer,2,0,1,1)&lt;&gt;"",CONCATENATE(OFFSET(ZonNummer,2,0,1,1)," ",OFFSET(ZonNummer,2,1,1,1)),"")</f>
        <v/>
      </c>
      <c r="AD245" s="78">
        <f ca="1">OFFSET(ZonNummer,2,7,1,1)</f>
        <v>0</v>
      </c>
      <c r="AE245" s="78">
        <f ca="1">OFFSET(ZonNummer,2,8,1,1)</f>
        <v>0</v>
      </c>
    </row>
    <row r="246" spans="1:31" x14ac:dyDescent="0.2">
      <c r="T246" s="75" t="str">
        <f t="shared" ca="1" si="48"/>
        <v/>
      </c>
      <c r="U246" s="76">
        <f t="shared" ca="1" si="49"/>
        <v>0</v>
      </c>
      <c r="X246" s="75" t="str">
        <f ca="1">IF(OFFSET(ZonNummer,3,0,1,1)&lt;&gt;"",CONCATENATE(OFFSET(ZonNummer,3,0,1,1)," ",OFFSET(ZonNummer,3,1,1,1)),"")</f>
        <v/>
      </c>
      <c r="Y246" s="77">
        <f ca="1">OFFSET(ZonNummer,3,4,1,1)</f>
        <v>0</v>
      </c>
      <c r="Z246" s="77">
        <f ca="1">OFFSET(ZonNummer,3,5,1,1)</f>
        <v>0</v>
      </c>
      <c r="AA246" s="77">
        <f ca="1">OFFSET(ZonNummer,3,6,1,1)</f>
        <v>0</v>
      </c>
      <c r="AC246" s="75" t="str">
        <f ca="1">IF(OFFSET(ZonNummer,3,0,1,1)&lt;&gt;"",CONCATENATE(OFFSET(ZonNummer,3,0,1,1)," ",OFFSET(ZonNummer,3,1,1,1)),"")</f>
        <v/>
      </c>
      <c r="AD246" s="78">
        <f ca="1">OFFSET(ZonNummer,3,7,1,1)</f>
        <v>0</v>
      </c>
      <c r="AE246" s="78">
        <f ca="1">OFFSET(ZonNummer,3,8,1,1)</f>
        <v>0</v>
      </c>
    </row>
    <row r="247" spans="1:31" x14ac:dyDescent="0.2">
      <c r="T247" s="75" t="str">
        <f t="shared" ca="1" si="48"/>
        <v/>
      </c>
      <c r="U247" s="76">
        <f t="shared" ca="1" si="49"/>
        <v>0</v>
      </c>
      <c r="X247" s="75" t="str">
        <f ca="1">IF(OFFSET(ZonNummer,4,0,1,1)&lt;&gt;"",CONCATENATE(OFFSET(ZonNummer,4,0,1,1)," ",OFFSET(ZonNummer,4,1,1,1)),"")</f>
        <v/>
      </c>
      <c r="Y247" s="77">
        <f ca="1">OFFSET(ZonNummer,4,4,1,1)</f>
        <v>0</v>
      </c>
      <c r="Z247" s="77">
        <f ca="1">OFFSET(ZonNummer,4,5,1,1)</f>
        <v>0</v>
      </c>
      <c r="AA247" s="77">
        <f ca="1">OFFSET(ZonNummer,4,6,1,1)</f>
        <v>0</v>
      </c>
      <c r="AC247" s="75" t="str">
        <f ca="1">IF(OFFSET(ZonNummer,4,0,1,1)&lt;&gt;"",CONCATENATE(OFFSET(ZonNummer,4,0,1,1)," ",OFFSET(ZonNummer,4,1,1,1)),"")</f>
        <v/>
      </c>
      <c r="AD247" s="78">
        <f ca="1">OFFSET(ZonNummer,4,7,1,1)</f>
        <v>0</v>
      </c>
      <c r="AE247" s="78">
        <f ca="1">OFFSET(ZonNummer,4,8,1,1)</f>
        <v>0</v>
      </c>
    </row>
    <row r="248" spans="1:31" x14ac:dyDescent="0.2">
      <c r="T248" s="75" t="str">
        <f t="shared" ca="1" si="48"/>
        <v/>
      </c>
      <c r="U248" s="76">
        <f t="shared" ca="1" si="49"/>
        <v>0</v>
      </c>
      <c r="X248" s="75" t="str">
        <f ca="1">IF(OFFSET(ZonNummer,5,0,1,1)&lt;&gt;"",CONCATENATE(OFFSET(ZonNummer,5,0,1,1)," ",OFFSET(ZonNummer,5,1,1,1)),"")</f>
        <v/>
      </c>
      <c r="Y248" s="77">
        <f ca="1">OFFSET(ZonNummer,5,4,1,1)</f>
        <v>0</v>
      </c>
      <c r="Z248" s="77">
        <f ca="1">OFFSET(ZonNummer,5,5,1,1)</f>
        <v>0</v>
      </c>
      <c r="AA248" s="77">
        <f ca="1">OFFSET(ZonNummer,5,6,1,1)</f>
        <v>0</v>
      </c>
      <c r="AC248" s="75" t="str">
        <f ca="1">IF(OFFSET(ZonNummer,5,0,1,1)&lt;&gt;"",CONCATENATE(OFFSET(ZonNummer,5,0,1,1)," ",OFFSET(ZonNummer,5,1,1,1)),"")</f>
        <v/>
      </c>
      <c r="AD248" s="78">
        <f ca="1">OFFSET(ZonNummer,5,7,1,1)</f>
        <v>0</v>
      </c>
      <c r="AE248" s="78">
        <f ca="1">OFFSET(ZonNummer,5,8,1,1)</f>
        <v>0</v>
      </c>
    </row>
    <row r="249" spans="1:31" x14ac:dyDescent="0.2">
      <c r="T249" s="75" t="str">
        <f t="shared" ca="1" si="48"/>
        <v/>
      </c>
      <c r="U249" s="76">
        <f t="shared" ca="1" si="49"/>
        <v>0</v>
      </c>
      <c r="X249" s="75" t="str">
        <f ca="1">IF(OFFSET(ZonNummer,6,0,1,1)&lt;&gt;"",CONCATENATE(OFFSET(ZonNummer,6,0,1,1)," ",OFFSET(ZonNummer,6,1,1,1)),"")</f>
        <v/>
      </c>
      <c r="Y249" s="77">
        <f ca="1">OFFSET(ZonNummer,6,4,1,1)</f>
        <v>0</v>
      </c>
      <c r="Z249" s="77">
        <f ca="1">OFFSET(ZonNummer,6,5,1,1)</f>
        <v>0</v>
      </c>
      <c r="AA249" s="77">
        <f ca="1">OFFSET(ZonNummer,6,6,1,1)</f>
        <v>0</v>
      </c>
      <c r="AC249" s="75" t="str">
        <f ca="1">IF(OFFSET(ZonNummer,6,0,1,1)&lt;&gt;"",CONCATENATE(OFFSET(ZonNummer,6,0,1,1)," ",OFFSET(ZonNummer,6,1,1,1)),"")</f>
        <v/>
      </c>
      <c r="AD249" s="78">
        <f ca="1">OFFSET(ZonNummer,6,7,1,1)</f>
        <v>0</v>
      </c>
      <c r="AE249" s="78">
        <f ca="1">OFFSET(ZonNummer,6,8,1,1)</f>
        <v>0</v>
      </c>
    </row>
    <row r="250" spans="1:31" x14ac:dyDescent="0.2">
      <c r="T250" s="75" t="str">
        <f t="shared" ca="1" si="48"/>
        <v/>
      </c>
      <c r="U250" s="76">
        <f t="shared" ca="1" si="49"/>
        <v>0</v>
      </c>
      <c r="X250" s="75" t="str">
        <f ca="1">IF(OFFSET(ZonNummer,7,0,1,1)&lt;&gt;"",CONCATENATE(OFFSET(ZonNummer,7,0,1,1)," ",OFFSET(ZonNummer,7,1,1,1)),"")</f>
        <v/>
      </c>
      <c r="Y250" s="77">
        <f ca="1">OFFSET(ZonNummer,7,4,1,1)</f>
        <v>0</v>
      </c>
      <c r="Z250" s="77">
        <f ca="1">OFFSET(ZonNummer,7,5,1,1)</f>
        <v>0</v>
      </c>
      <c r="AA250" s="77">
        <f ca="1">OFFSET(ZonNummer,7,6,1,1)</f>
        <v>0</v>
      </c>
      <c r="AC250" s="75" t="str">
        <f ca="1">IF(OFFSET(ZonNummer,7,0,1,1)&lt;&gt;"",CONCATENATE(OFFSET(ZonNummer,7,0,1,1)," ",OFFSET(ZonNummer,7,1,1,1)),"")</f>
        <v/>
      </c>
      <c r="AD250" s="78">
        <f ca="1">OFFSET(ZonNummer,7,7,1,1)</f>
        <v>0</v>
      </c>
      <c r="AE250" s="78">
        <f ca="1">OFFSET(ZonNummer,7,8,1,1)</f>
        <v>0</v>
      </c>
    </row>
    <row r="251" spans="1:31" x14ac:dyDescent="0.2">
      <c r="T251" s="75" t="str">
        <f t="shared" ca="1" si="48"/>
        <v/>
      </c>
      <c r="U251" s="76">
        <f t="shared" ca="1" si="49"/>
        <v>0</v>
      </c>
      <c r="X251" s="75" t="str">
        <f ca="1">IF(OFFSET(ZonNummer,8,0,1,1)&lt;&gt;"",CONCATENATE(OFFSET(ZonNummer,8,0,1,1)," ",OFFSET(ZonNummer,8,1,1,1)),"")</f>
        <v/>
      </c>
      <c r="Y251" s="77">
        <f ca="1">OFFSET(ZonNummer,8,4,1,1)</f>
        <v>0</v>
      </c>
      <c r="Z251" s="77">
        <f ca="1">OFFSET(ZonNummer,8,5,1,1)</f>
        <v>0</v>
      </c>
      <c r="AA251" s="77">
        <f ca="1">OFFSET(ZonNummer,8,6,1,1)</f>
        <v>0</v>
      </c>
      <c r="AC251" s="75" t="str">
        <f ca="1">IF(OFFSET(ZonNummer,8,0,1,1)&lt;&gt;"",CONCATENATE(OFFSET(ZonNummer,8,0,1,1)," ",OFFSET(ZonNummer,8,1,1,1)),"")</f>
        <v/>
      </c>
      <c r="AD251" s="78">
        <f ca="1">OFFSET(ZonNummer,8,7,1,1)</f>
        <v>0</v>
      </c>
      <c r="AE251" s="78">
        <f ca="1">OFFSET(ZonNummer,8,8,1,1)</f>
        <v>0</v>
      </c>
    </row>
    <row r="252" spans="1:31" x14ac:dyDescent="0.2">
      <c r="T252" s="75" t="str">
        <f t="shared" ca="1" si="48"/>
        <v/>
      </c>
      <c r="U252" s="76">
        <f t="shared" ca="1" si="49"/>
        <v>0</v>
      </c>
      <c r="X252" s="75" t="str">
        <f ca="1">IF(OFFSET(ZonNummer,9,0,1,1)&lt;&gt;"",CONCATENATE(OFFSET(ZonNummer,9,0,1,1)," ",OFFSET(ZonNummer,9,1,1,1)),"")</f>
        <v/>
      </c>
      <c r="Y252" s="77">
        <f ca="1">OFFSET(ZonNummer,9,4,1,1)</f>
        <v>0</v>
      </c>
      <c r="Z252" s="77">
        <f ca="1">OFFSET(ZonNummer,9,5,1,1)</f>
        <v>0</v>
      </c>
      <c r="AA252" s="77">
        <f ca="1">OFFSET(ZonNummer,9,6,1,1)</f>
        <v>0</v>
      </c>
      <c r="AC252" s="75" t="str">
        <f ca="1">IF(OFFSET(ZonNummer,9,0,1,1)&lt;&gt;"",CONCATENATE(OFFSET(ZonNummer,9,0,1,1)," ",OFFSET(ZonNummer,9,1,1,1)),"")</f>
        <v/>
      </c>
      <c r="AD252" s="78">
        <f ca="1">OFFSET(ZonNummer,9,7,1,1)</f>
        <v>0</v>
      </c>
      <c r="AE252" s="78">
        <f ca="1">OFFSET(ZonNummer,9,8,1,1)</f>
        <v>0</v>
      </c>
    </row>
    <row r="253" spans="1:31" x14ac:dyDescent="0.2">
      <c r="T253" s="75" t="str">
        <f t="shared" ca="1" si="48"/>
        <v/>
      </c>
      <c r="U253" s="76">
        <f t="shared" ca="1" si="49"/>
        <v>0</v>
      </c>
      <c r="X253" s="75" t="str">
        <f ca="1">IF(OFFSET(ZonNummer,10,0,1,1)&lt;&gt;"",CONCATENATE(OFFSET(ZonNummer,10,0,1,1)," ",OFFSET(ZonNummer,10,1,1,1)),"")</f>
        <v/>
      </c>
      <c r="Y253" s="77">
        <f ca="1">OFFSET(ZonNummer,10,4,1,1)</f>
        <v>0</v>
      </c>
      <c r="Z253" s="77">
        <f ca="1">OFFSET(ZonNummer,10,5,1,1)</f>
        <v>0</v>
      </c>
      <c r="AA253" s="77">
        <f ca="1">OFFSET(ZonNummer,10,6,1,1)</f>
        <v>0</v>
      </c>
      <c r="AC253" s="75" t="str">
        <f ca="1">IF(OFFSET(ZonNummer,10,0,1,1)&lt;&gt;"",CONCATENATE(OFFSET(ZonNummer,10,0,1,1)," ",OFFSET(ZonNummer,10,1,1,1)),"")</f>
        <v/>
      </c>
      <c r="AD253" s="78">
        <f ca="1">OFFSET(ZonNummer,10,7,1,1)</f>
        <v>0</v>
      </c>
      <c r="AE253" s="78">
        <f ca="1">OFFSET(ZonNummer,10,8,1,1)</f>
        <v>0</v>
      </c>
    </row>
    <row r="254" spans="1:31" x14ac:dyDescent="0.2">
      <c r="T254" s="75" t="str">
        <f t="shared" ca="1" si="48"/>
        <v/>
      </c>
      <c r="U254" s="76">
        <f t="shared" ca="1" si="49"/>
        <v>0</v>
      </c>
      <c r="X254" s="75" t="str">
        <f ca="1">IF(OFFSET(ZonNummer,11,0,1,1)&lt;&gt;"",CONCATENATE(OFFSET(ZonNummer,11,0,1,1)," ",OFFSET(ZonNummer,11,1,1,1)),"")</f>
        <v/>
      </c>
      <c r="Y254" s="77">
        <f ca="1">OFFSET(ZonNummer,11,4,1,1)</f>
        <v>0</v>
      </c>
      <c r="Z254" s="77">
        <f ca="1">OFFSET(ZonNummer,11,5,1,1)</f>
        <v>0</v>
      </c>
      <c r="AA254" s="77">
        <f ca="1">OFFSET(ZonNummer,11,6,1,1)</f>
        <v>0</v>
      </c>
      <c r="AC254" s="75" t="str">
        <f ca="1">IF(OFFSET(ZonNummer,11,0,1,1)&lt;&gt;"",CONCATENATE(OFFSET(ZonNummer,11,0,1,1)," ",OFFSET(ZonNummer,11,1,1,1)),"")</f>
        <v/>
      </c>
      <c r="AD254" s="78">
        <f ca="1">OFFSET(ZonNummer,11,7,1,1)</f>
        <v>0</v>
      </c>
      <c r="AE254" s="78">
        <f ca="1">OFFSET(ZonNummer,11,8,1,1)</f>
        <v>0</v>
      </c>
    </row>
    <row r="255" spans="1:31" x14ac:dyDescent="0.2">
      <c r="T255" s="75" t="str">
        <f t="shared" ca="1" si="48"/>
        <v/>
      </c>
      <c r="U255" s="76">
        <f t="shared" ca="1" si="49"/>
        <v>0</v>
      </c>
      <c r="X255" s="75" t="str">
        <f ca="1">IF(OFFSET(ZonNummer,12,0,1,1)&lt;&gt;"",CONCATENATE(OFFSET(ZonNummer,12,0,1,1)," ",OFFSET(ZonNummer,12,1,1,1)),"")</f>
        <v/>
      </c>
      <c r="Y255" s="77">
        <f ca="1">OFFSET(ZonNummer,12,4,1,1)</f>
        <v>0</v>
      </c>
      <c r="Z255" s="77">
        <f ca="1">OFFSET(ZonNummer,12,5,1,1)</f>
        <v>0</v>
      </c>
      <c r="AA255" s="77">
        <f ca="1">OFFSET(ZonNummer,12,6,1,1)</f>
        <v>0</v>
      </c>
      <c r="AC255" s="75" t="str">
        <f ca="1">IF(OFFSET(ZonNummer,12,0,1,1)&lt;&gt;"",CONCATENATE(OFFSET(ZonNummer,12,0,1,1)," ",OFFSET(ZonNummer,12,1,1,1)),"")</f>
        <v/>
      </c>
      <c r="AD255" s="78">
        <f ca="1">OFFSET(ZonNummer,12,7,1,1)</f>
        <v>0</v>
      </c>
      <c r="AE255" s="78">
        <f ca="1">OFFSET(ZonNummer,12,8,1,1)</f>
        <v>0</v>
      </c>
    </row>
    <row r="256" spans="1:31" x14ac:dyDescent="0.2">
      <c r="T256" s="75" t="str">
        <f t="shared" ca="1" si="48"/>
        <v/>
      </c>
      <c r="U256" s="76">
        <f t="shared" ca="1" si="49"/>
        <v>0</v>
      </c>
      <c r="X256" s="75" t="str">
        <f ca="1">IF(OFFSET(ZonNummer,13,0,1,1)&lt;&gt;"",CONCATENATE(OFFSET(ZonNummer,13,0,1,1)," ",OFFSET(ZonNummer,13,1,1,1)),"")</f>
        <v/>
      </c>
      <c r="Y256" s="77">
        <f ca="1">OFFSET(ZonNummer,13,4,1,1)</f>
        <v>0</v>
      </c>
      <c r="Z256" s="77">
        <f ca="1">OFFSET(ZonNummer,13,5,1,1)</f>
        <v>0</v>
      </c>
      <c r="AA256" s="77">
        <f ca="1">OFFSET(ZonNummer,13,6,1,1)</f>
        <v>0</v>
      </c>
      <c r="AC256" s="75" t="str">
        <f ca="1">IF(OFFSET(ZonNummer,13,0,1,1)&lt;&gt;"",CONCATENATE(OFFSET(ZonNummer,13,0,1,1)," ",OFFSET(ZonNummer,13,1,1,1)),"")</f>
        <v/>
      </c>
      <c r="AD256" s="78">
        <f ca="1">OFFSET(ZonNummer,13,7,1,1)</f>
        <v>0</v>
      </c>
      <c r="AE256" s="78">
        <f ca="1">OFFSET(ZonNummer,13,8,1,1)</f>
        <v>0</v>
      </c>
    </row>
    <row r="257" spans="1:40" x14ac:dyDescent="0.2">
      <c r="T257" s="75" t="str">
        <f t="shared" ca="1" si="48"/>
        <v/>
      </c>
      <c r="U257" s="76">
        <f t="shared" ca="1" si="49"/>
        <v>0</v>
      </c>
      <c r="X257" s="75" t="str">
        <f ca="1">IF(OFFSET(ZonNummer,14,0,1,1)&lt;&gt;"",CONCATENATE(OFFSET(ZonNummer,14,0,1,1)," ",OFFSET(ZonNummer,14,1,1,1)),"")</f>
        <v/>
      </c>
      <c r="Y257" s="77">
        <f ca="1">OFFSET(ZonNummer,14,4,1,1)</f>
        <v>0</v>
      </c>
      <c r="Z257" s="77">
        <f ca="1">OFFSET(ZonNummer,14,5,1,1)</f>
        <v>0</v>
      </c>
      <c r="AA257" s="77">
        <f ca="1">OFFSET(ZonNummer,14,6,1,1)</f>
        <v>0</v>
      </c>
      <c r="AC257" s="75" t="str">
        <f ca="1">IF(OFFSET(ZonNummer,14,0,1,1)&lt;&gt;"",CONCATENATE(OFFSET(ZonNummer,14,0,1,1)," ",OFFSET(ZonNummer,14,1,1,1)),"")</f>
        <v/>
      </c>
      <c r="AD257" s="78">
        <f ca="1">OFFSET(ZonNummer,14,7,1,1)</f>
        <v>0</v>
      </c>
      <c r="AE257" s="78">
        <f ca="1">OFFSET(ZonNummer,14,8,1,1)</f>
        <v>0</v>
      </c>
    </row>
    <row r="258" spans="1:40" x14ac:dyDescent="0.2">
      <c r="T258" s="75" t="str">
        <f t="shared" ca="1" si="48"/>
        <v/>
      </c>
      <c r="U258" s="76">
        <f t="shared" ca="1" si="49"/>
        <v>0</v>
      </c>
      <c r="X258" s="75" t="str">
        <f ca="1">IF(OFFSET(ZonNummer,15,0,1,1)&lt;&gt;"",CONCATENATE(OFFSET(ZonNummer,15,0,1,1)," ",OFFSET(ZonNummer,15,1,1,1)),"")</f>
        <v/>
      </c>
      <c r="Y258" s="77">
        <f ca="1">OFFSET(ZonNummer,15,4,1,1)</f>
        <v>0</v>
      </c>
      <c r="Z258" s="77">
        <f ca="1">OFFSET(ZonNummer,15,5,1,1)</f>
        <v>0</v>
      </c>
      <c r="AA258" s="77">
        <f ca="1">OFFSET(ZonNummer,15,6,1,1)</f>
        <v>0</v>
      </c>
      <c r="AC258" s="75" t="str">
        <f ca="1">IF(OFFSET(ZonNummer,15,0,1,1)&lt;&gt;"",CONCATENATE(OFFSET(ZonNummer,15,0,1,1)," ",OFFSET(ZonNummer,15,1,1,1)),"")</f>
        <v/>
      </c>
      <c r="AD258" s="78">
        <f ca="1">OFFSET(ZonNummer,15,7,1,1)</f>
        <v>0</v>
      </c>
      <c r="AE258" s="78">
        <f ca="1">OFFSET(ZonNummer,15,8,1,1)</f>
        <v>0</v>
      </c>
    </row>
    <row r="259" spans="1:40" x14ac:dyDescent="0.2">
      <c r="T259" s="75" t="str">
        <f t="shared" ca="1" si="48"/>
        <v/>
      </c>
      <c r="U259" s="76">
        <f t="shared" ca="1" si="49"/>
        <v>0</v>
      </c>
      <c r="X259" s="75" t="str">
        <f ca="1">IF(OFFSET(ZonNummer,16,0,1,1)&lt;&gt;"",CONCATENATE(OFFSET(ZonNummer,16,0,1,1)," ",OFFSET(ZonNummer,16,1,1,1)),"")</f>
        <v/>
      </c>
      <c r="Y259" s="77">
        <f ca="1">OFFSET(ZonNummer,16,4,1,1)</f>
        <v>0</v>
      </c>
      <c r="Z259" s="77">
        <f ca="1">OFFSET(ZonNummer,16,5,1,1)</f>
        <v>0</v>
      </c>
      <c r="AA259" s="77">
        <f ca="1">OFFSET(ZonNummer,16,6,1,1)</f>
        <v>0</v>
      </c>
      <c r="AC259" s="75" t="str">
        <f ca="1">IF(OFFSET(ZonNummer,16,0,1,1)&lt;&gt;"",CONCATENATE(OFFSET(ZonNummer,16,0,1,1)," ",OFFSET(ZonNummer,16,1,1,1)),"")</f>
        <v/>
      </c>
      <c r="AD259" s="78">
        <f ca="1">OFFSET(ZonNummer,16,7,1,1)</f>
        <v>0</v>
      </c>
      <c r="AE259" s="78">
        <f ca="1">OFFSET(ZonNummer,16,8,1,1)</f>
        <v>0</v>
      </c>
    </row>
    <row r="260" spans="1:40" x14ac:dyDescent="0.2">
      <c r="T260" s="75" t="str">
        <f t="shared" ca="1" si="48"/>
        <v/>
      </c>
      <c r="U260" s="76">
        <f t="shared" ca="1" si="49"/>
        <v>0</v>
      </c>
      <c r="X260" s="75" t="str">
        <f ca="1">IF(OFFSET(ZonNummer,17,0,1,1)&lt;&gt;"",CONCATENATE(OFFSET(ZonNummer,17,0,1,1)," ",OFFSET(ZonNummer,17,1,1,1)),"")</f>
        <v/>
      </c>
      <c r="Y260" s="77">
        <f ca="1">OFFSET(ZonNummer,17,4,1,1)</f>
        <v>0</v>
      </c>
      <c r="Z260" s="77">
        <f ca="1">OFFSET(ZonNummer,17,5,1,1)</f>
        <v>0</v>
      </c>
      <c r="AA260" s="77">
        <f ca="1">OFFSET(ZonNummer,17,6,1,1)</f>
        <v>0</v>
      </c>
      <c r="AC260" s="75" t="str">
        <f ca="1">IF(OFFSET(ZonNummer,17,0,1,1)&lt;&gt;"",CONCATENATE(OFFSET(ZonNummer,17,0,1,1)," ",OFFSET(ZonNummer,17,1,1,1)),"")</f>
        <v/>
      </c>
      <c r="AD260" s="78">
        <f ca="1">OFFSET(ZonNummer,17,7,1,1)</f>
        <v>0</v>
      </c>
      <c r="AE260" s="78">
        <f ca="1">OFFSET(ZonNummer,17,8,1,1)</f>
        <v>0</v>
      </c>
    </row>
    <row r="261" spans="1:40" x14ac:dyDescent="0.2">
      <c r="T261" s="75" t="str">
        <f t="shared" ca="1" si="48"/>
        <v/>
      </c>
      <c r="U261" s="76">
        <f t="shared" ca="1" si="49"/>
        <v>0</v>
      </c>
      <c r="X261" s="75" t="str">
        <f ca="1">IF(OFFSET(ZonNummer,18,0,1,1)&lt;&gt;"",CONCATENATE(OFFSET(ZonNummer,18,0,1,1)," ",OFFSET(ZonNummer,18,1,1,1)),"")</f>
        <v/>
      </c>
      <c r="Y261" s="77">
        <f ca="1">OFFSET(ZonNummer,18,4,1,1)</f>
        <v>0</v>
      </c>
      <c r="Z261" s="77">
        <f ca="1">OFFSET(ZonNummer,18,5,1,1)</f>
        <v>0</v>
      </c>
      <c r="AA261" s="77">
        <f ca="1">OFFSET(ZonNummer,18,6,1,1)</f>
        <v>0</v>
      </c>
      <c r="AC261" s="75" t="str">
        <f ca="1">IF(OFFSET(ZonNummer,18,0,1,1)&lt;&gt;"",CONCATENATE(OFFSET(ZonNummer,18,0,1,1)," ",OFFSET(ZonNummer,18,1,1,1)),"")</f>
        <v/>
      </c>
      <c r="AD261" s="78">
        <f ca="1">OFFSET(ZonNummer,18,7,1,1)</f>
        <v>0</v>
      </c>
      <c r="AE261" s="78">
        <f ca="1">OFFSET(ZonNummer,18,8,1,1)</f>
        <v>0</v>
      </c>
    </row>
    <row r="262" spans="1:40" x14ac:dyDescent="0.2">
      <c r="T262" s="75" t="str">
        <f t="shared" ca="1" si="48"/>
        <v/>
      </c>
      <c r="U262" s="76">
        <f t="shared" ca="1" si="49"/>
        <v>0</v>
      </c>
      <c r="X262" s="75" t="str">
        <f ca="1">IF(OFFSET(ZonNummer,19,0,1,1)&lt;&gt;"",CONCATENATE(OFFSET(ZonNummer,19,0,1,1)," ",OFFSET(ZonNummer,19,1,1,1)),"")</f>
        <v/>
      </c>
      <c r="Y262" s="77">
        <f ca="1">OFFSET(ZonNummer,19,4,1,1)</f>
        <v>0</v>
      </c>
      <c r="Z262" s="77">
        <f ca="1">OFFSET(ZonNummer,19,5,1,1)</f>
        <v>0</v>
      </c>
      <c r="AA262" s="77">
        <f ca="1">OFFSET(ZonNummer,19,6,1,1)</f>
        <v>0</v>
      </c>
      <c r="AC262" s="75" t="str">
        <f ca="1">IF(OFFSET(ZonNummer,19,0,1,1)&lt;&gt;"",CONCATENATE(OFFSET(ZonNummer,19,0,1,1)," ",OFFSET(ZonNummer,19,1,1,1)),"")</f>
        <v/>
      </c>
      <c r="AD262" s="78">
        <f ca="1">OFFSET(ZonNummer,19,7,1,1)</f>
        <v>0</v>
      </c>
      <c r="AE262" s="78">
        <f ca="1">OFFSET(ZonNummer,19,8,1,1)</f>
        <v>0</v>
      </c>
    </row>
    <row r="263" spans="1:40" x14ac:dyDescent="0.2">
      <c r="A263" s="3" t="s">
        <v>276</v>
      </c>
      <c r="T263" s="75" t="str">
        <f t="shared" ca="1" si="48"/>
        <v/>
      </c>
      <c r="U263" s="76">
        <f t="shared" ca="1" si="49"/>
        <v>0</v>
      </c>
      <c r="X263" s="75" t="str">
        <f ca="1">IF(OFFSET(ZonNummer,20,0,1,1)&lt;&gt;"",CONCATENATE(OFFSET(ZonNummer,20,0,1,1)," ",OFFSET(ZonNummer,20,1,1,1)),"")</f>
        <v/>
      </c>
      <c r="Y263" s="77">
        <f ca="1">OFFSET(ZonNummer,20,4,1,1)</f>
        <v>0</v>
      </c>
      <c r="Z263" s="77">
        <f ca="1">OFFSET(ZonNummer,20,5,1,1)</f>
        <v>0</v>
      </c>
      <c r="AA263" s="77">
        <f ca="1">OFFSET(ZonNummer,20,6,1,1)</f>
        <v>0</v>
      </c>
      <c r="AC263" s="75" t="str">
        <f ca="1">IF(OFFSET(ZonNummer,20,0,1,1)&lt;&gt;"",CONCATENATE(OFFSET(ZonNummer,20,0,1,1)," ",OFFSET(ZonNummer,20,1,1,1)),"")</f>
        <v/>
      </c>
      <c r="AD263" s="78">
        <f ca="1">OFFSET(ZonNummer,20,7,1,1)</f>
        <v>0</v>
      </c>
      <c r="AE263" s="78">
        <f ca="1">OFFSET(ZonNummer,20,8,1,1)</f>
        <v>0</v>
      </c>
      <c r="AG263" s="3" t="s">
        <v>276</v>
      </c>
    </row>
    <row r="264" spans="1:40" ht="12.75" customHeight="1" x14ac:dyDescent="0.2">
      <c r="T264" s="75" t="str">
        <f t="shared" ca="1" si="48"/>
        <v/>
      </c>
      <c r="U264" s="76">
        <f t="shared" ca="1" si="49"/>
        <v>0</v>
      </c>
      <c r="X264" s="75" t="str">
        <f ca="1">IF(OFFSET(ZonNummer,21,0,1,1)&lt;&gt;"",CONCATENATE(OFFSET(ZonNummer,21,0,1,1)," ",OFFSET(ZonNummer,21,1,1,1)),"")</f>
        <v/>
      </c>
      <c r="Y264" s="77">
        <f ca="1">OFFSET(ZonNummer,21,4,1,1)</f>
        <v>0</v>
      </c>
      <c r="Z264" s="77">
        <f ca="1">OFFSET(ZonNummer,21,5,1,1)</f>
        <v>0</v>
      </c>
      <c r="AA264" s="77">
        <f ca="1">OFFSET(ZonNummer,21,6,1,1)</f>
        <v>0</v>
      </c>
      <c r="AC264" s="75" t="str">
        <f ca="1">IF(OFFSET(ZonNummer,21,0,1,1)&lt;&gt;"",CONCATENATE(OFFSET(ZonNummer,21,0,1,1)," ",OFFSET(ZonNummer,21,1,1,1)),"")</f>
        <v/>
      </c>
      <c r="AD264" s="78">
        <f ca="1">OFFSET(ZonNummer,21,7,1,1)</f>
        <v>0</v>
      </c>
      <c r="AE264" s="78">
        <f ca="1">OFFSET(ZonNummer,21,8,1,1)</f>
        <v>0</v>
      </c>
      <c r="AH264" s="92" t="s">
        <v>54</v>
      </c>
      <c r="AI264" s="92" t="s">
        <v>306</v>
      </c>
      <c r="AJ264" s="92" t="s">
        <v>51</v>
      </c>
      <c r="AK264" s="90" t="s">
        <v>259</v>
      </c>
      <c r="AL264" s="91"/>
      <c r="AM264" s="90" t="s">
        <v>271</v>
      </c>
      <c r="AN264" s="91"/>
    </row>
    <row r="265" spans="1:40" ht="25.5" x14ac:dyDescent="0.2">
      <c r="T265" s="75" t="str">
        <f t="shared" ca="1" si="48"/>
        <v/>
      </c>
      <c r="U265" s="76">
        <f t="shared" ca="1" si="49"/>
        <v>0</v>
      </c>
      <c r="X265" s="75" t="str">
        <f ca="1">IF(OFFSET(ZonNummer,22,0,1,1)&lt;&gt;"",CONCATENATE(OFFSET(ZonNummer,22,0,1,1)," ",OFFSET(ZonNummer,22,1,1,1)),"")</f>
        <v/>
      </c>
      <c r="Y265" s="77">
        <f ca="1">OFFSET(ZonNummer,22,4,1,1)</f>
        <v>0</v>
      </c>
      <c r="Z265" s="77">
        <f ca="1">OFFSET(ZonNummer,22,5,1,1)</f>
        <v>0</v>
      </c>
      <c r="AA265" s="77">
        <f ca="1">OFFSET(ZonNummer,22,6,1,1)</f>
        <v>0</v>
      </c>
      <c r="AC265" s="75" t="str">
        <f ca="1">IF(OFFSET(ZonNummer,22,0,1,1)&lt;&gt;"",CONCATENATE(OFFSET(ZonNummer,22,0,1,1)," ",OFFSET(ZonNummer,22,1,1,1)),"")</f>
        <v/>
      </c>
      <c r="AD265" s="78">
        <f ca="1">OFFSET(ZonNummer,22,7,1,1)</f>
        <v>0</v>
      </c>
      <c r="AE265" s="78">
        <f ca="1">OFFSET(ZonNummer,22,8,1,1)</f>
        <v>0</v>
      </c>
      <c r="AG265" s="82" t="s">
        <v>277</v>
      </c>
      <c r="AH265" s="93"/>
      <c r="AI265" s="93"/>
      <c r="AJ265" s="93"/>
      <c r="AK265" s="73" t="s">
        <v>260</v>
      </c>
      <c r="AL265" s="73" t="s">
        <v>261</v>
      </c>
      <c r="AM265" s="73" t="s">
        <v>260</v>
      </c>
      <c r="AN265" s="73" t="s">
        <v>261</v>
      </c>
    </row>
    <row r="266" spans="1:40" x14ac:dyDescent="0.2">
      <c r="T266" s="75" t="str">
        <f t="shared" ca="1" si="48"/>
        <v/>
      </c>
      <c r="U266" s="76">
        <f t="shared" ca="1" si="49"/>
        <v>0</v>
      </c>
      <c r="X266" s="75" t="str">
        <f ca="1">IF(OFFSET(ZonNummer,23,0,1,1)&lt;&gt;"",CONCATENATE(OFFSET(ZonNummer,23,0,1,1)," ",OFFSET(ZonNummer,23,1,1,1)),"")</f>
        <v/>
      </c>
      <c r="Y266" s="77">
        <f ca="1">OFFSET(ZonNummer,23,4,1,1)</f>
        <v>0</v>
      </c>
      <c r="Z266" s="77">
        <f ca="1">OFFSET(ZonNummer,23,5,1,1)</f>
        <v>0</v>
      </c>
      <c r="AA266" s="77">
        <f ca="1">OFFSET(ZonNummer,23,6,1,1)</f>
        <v>0</v>
      </c>
      <c r="AC266" s="75" t="str">
        <f ca="1">IF(OFFSET(ZonNummer,23,0,1,1)&lt;&gt;"",CONCATENATE(OFFSET(ZonNummer,23,0,1,1)," ",OFFSET(ZonNummer,23,1,1,1)),"")</f>
        <v/>
      </c>
      <c r="AD266" s="78">
        <f ca="1">OFFSET(ZonNummer,23,7,1,1)</f>
        <v>0</v>
      </c>
      <c r="AE266" s="78">
        <f ca="1">OFFSET(ZonNummer,23,8,1,1)</f>
        <v>0</v>
      </c>
      <c r="AH266" s="81"/>
      <c r="AI266" s="52"/>
      <c r="AJ266" s="52" t="s">
        <v>57</v>
      </c>
      <c r="AK266" s="52" t="s">
        <v>57</v>
      </c>
      <c r="AL266" s="52" t="s">
        <v>57</v>
      </c>
      <c r="AM266" s="52" t="s">
        <v>57</v>
      </c>
      <c r="AN266" s="52" t="s">
        <v>57</v>
      </c>
    </row>
    <row r="267" spans="1:40" x14ac:dyDescent="0.2">
      <c r="T267" s="75" t="str">
        <f t="shared" ca="1" si="48"/>
        <v/>
      </c>
      <c r="U267" s="76">
        <f t="shared" ca="1" si="49"/>
        <v>0</v>
      </c>
      <c r="X267" s="75" t="str">
        <f ca="1">IF(OFFSET(ZonNummer,24,0,1,1)&lt;&gt;"",CONCATENATE(OFFSET(ZonNummer,24,0,1,1)," ",OFFSET(ZonNummer,24,1,1,1)),"")</f>
        <v/>
      </c>
      <c r="Y267" s="77">
        <f ca="1">OFFSET(ZonNummer,24,4,1,1)</f>
        <v>0</v>
      </c>
      <c r="Z267" s="77">
        <f ca="1">OFFSET(ZonNummer,24,5,1,1)</f>
        <v>0</v>
      </c>
      <c r="AA267" s="77">
        <f ca="1">OFFSET(ZonNummer,24,6,1,1)</f>
        <v>0</v>
      </c>
      <c r="AC267" s="75" t="str">
        <f ca="1">IF(OFFSET(ZonNummer,24,0,1,1)&lt;&gt;"",CONCATENATE(OFFSET(ZonNummer,24,0,1,1)," ",OFFSET(ZonNummer,24,1,1,1)),"")</f>
        <v/>
      </c>
      <c r="AD267" s="78">
        <f ca="1">OFFSET(ZonNummer,24,7,1,1)</f>
        <v>0</v>
      </c>
      <c r="AE267" s="78">
        <f ca="1">OFFSET(ZonNummer,24,8,1,1)</f>
        <v>0</v>
      </c>
      <c r="AG267" s="3">
        <v>1</v>
      </c>
      <c r="AH267" s="48" t="str">
        <f t="shared" ref="AH267:AH298" ca="1" si="50">IF(OFFSET(BTCODE_B,AG267-1,0)&lt;&gt;0,CONCATENATE(OFFSET(BTCODE_B,AG267-1,0)," ",OFFSET(BTCODE_B,AG267-1,1)),0)</f>
        <v>BTCODE_B BTNAME</v>
      </c>
      <c r="AI267" s="48" t="str">
        <f t="shared" ref="AI267:AI298" ca="1" si="51">OFFSET(BTCODE_B,AG267-1,2)</f>
        <v>BTEINBAU</v>
      </c>
      <c r="AJ267" s="48" t="str">
        <f t="shared" ref="AJ267:AJ298" ca="1" si="52">OFFSET(BTCODE_B,AG267-1,3)</f>
        <v>BTUWERT</v>
      </c>
      <c r="AK267" s="48" t="str">
        <f t="shared" ref="AK267:AK298" ca="1" si="53">OFFSET(BTCODE_B,AG267-1,4)</f>
        <v>GEG_G19_B</v>
      </c>
      <c r="AL267" s="48" t="str">
        <f t="shared" ref="AL267:AL298" ca="1" si="54">OFFSET(BTCODE_B,AG267-1,5)</f>
        <v xml:space="preserve"> GEG_K19_B</v>
      </c>
      <c r="AM267" s="48" t="str">
        <f t="shared" ref="AM267:AM298" ca="1" si="55">OFFSET(BTCODE_B,AG267-1,6)</f>
        <v>BEG_EM_G19</v>
      </c>
      <c r="AN267" s="48" t="str">
        <f t="shared" ref="AN267:AN298" ca="1" si="56">OFFSET(BTCODE_B,AG267-1,7)</f>
        <v>BEG_EM_K19</v>
      </c>
    </row>
    <row r="268" spans="1:40" x14ac:dyDescent="0.2">
      <c r="T268" s="75" t="str">
        <f t="shared" ca="1" si="48"/>
        <v/>
      </c>
      <c r="U268" s="76">
        <f t="shared" ca="1" si="49"/>
        <v>0</v>
      </c>
      <c r="X268" s="75" t="str">
        <f ca="1">IF(OFFSET(ZonNummer,25,0,1,1)&lt;&gt;"",CONCATENATE(OFFSET(ZonNummer,25,0,1,1)," ",OFFSET(ZonNummer,25,1,1,1)),"")</f>
        <v/>
      </c>
      <c r="Y268" s="77">
        <f ca="1">OFFSET(ZonNummer,25,4,1,1)</f>
        <v>0</v>
      </c>
      <c r="Z268" s="77">
        <f ca="1">OFFSET(ZonNummer,25,5,1,1)</f>
        <v>0</v>
      </c>
      <c r="AA268" s="77">
        <f ca="1">OFFSET(ZonNummer,25,6,1,1)</f>
        <v>0</v>
      </c>
      <c r="AC268" s="75" t="str">
        <f ca="1">IF(OFFSET(ZonNummer,25,0,1,1)&lt;&gt;"",CONCATENATE(OFFSET(ZonNummer,25,0,1,1)," ",OFFSET(ZonNummer,25,1,1,1)),"")</f>
        <v/>
      </c>
      <c r="AD268" s="78">
        <f ca="1">OFFSET(ZonNummer,25,7,1,1)</f>
        <v>0</v>
      </c>
      <c r="AE268" s="78">
        <f ca="1">OFFSET(ZonNummer,25,8,1,1)</f>
        <v>0</v>
      </c>
      <c r="AG268" s="3">
        <v>2</v>
      </c>
      <c r="AH268" s="48" t="str">
        <f t="shared" ca="1" si="50"/>
        <v>BTCode 2 2</v>
      </c>
      <c r="AI268" s="48">
        <f t="shared" ca="1" si="51"/>
        <v>3</v>
      </c>
      <c r="AJ268" s="48">
        <f t="shared" ca="1" si="52"/>
        <v>4</v>
      </c>
      <c r="AK268" s="48">
        <f t="shared" ca="1" si="53"/>
        <v>5</v>
      </c>
      <c r="AL268" s="48">
        <f t="shared" ca="1" si="54"/>
        <v>6</v>
      </c>
      <c r="AM268" s="48">
        <f t="shared" ca="1" si="55"/>
        <v>7</v>
      </c>
      <c r="AN268" s="48">
        <f t="shared" ca="1" si="56"/>
        <v>8</v>
      </c>
    </row>
    <row r="269" spans="1:40" x14ac:dyDescent="0.2">
      <c r="T269" s="75" t="str">
        <f t="shared" ca="1" si="48"/>
        <v/>
      </c>
      <c r="U269" s="76">
        <f t="shared" ca="1" si="49"/>
        <v>0</v>
      </c>
      <c r="X269" s="75" t="str">
        <f ca="1">IF(OFFSET(ZonNummer,26,0,1,1)&lt;&gt;"",CONCATENATE(OFFSET(ZonNummer,26,0,1,1)," ",OFFSET(ZonNummer,26,1,1,1)),"")</f>
        <v/>
      </c>
      <c r="Y269" s="77">
        <f ca="1">OFFSET(ZonNummer,26,4,1,1)</f>
        <v>0</v>
      </c>
      <c r="Z269" s="77">
        <f ca="1">OFFSET(ZonNummer,26,5,1,1)</f>
        <v>0</v>
      </c>
      <c r="AA269" s="77">
        <f ca="1">OFFSET(ZonNummer,26,6,1,1)</f>
        <v>0</v>
      </c>
      <c r="AC269" s="75" t="str">
        <f ca="1">IF(OFFSET(ZonNummer,26,0,1,1)&lt;&gt;"",CONCATENATE(OFFSET(ZonNummer,26,0,1,1)," ",OFFSET(ZonNummer,26,1,1,1)),"")</f>
        <v/>
      </c>
      <c r="AD269" s="78">
        <f ca="1">OFFSET(ZonNummer,26,7,1,1)</f>
        <v>0</v>
      </c>
      <c r="AE269" s="78">
        <f ca="1">OFFSET(ZonNummer,26,8,1,1)</f>
        <v>0</v>
      </c>
      <c r="AG269" s="3">
        <v>3</v>
      </c>
      <c r="AH269" s="48">
        <f t="shared" ca="1" si="50"/>
        <v>0</v>
      </c>
      <c r="AI269" s="48">
        <f t="shared" ca="1" si="51"/>
        <v>0</v>
      </c>
      <c r="AJ269" s="48">
        <f t="shared" ca="1" si="52"/>
        <v>0</v>
      </c>
      <c r="AK269" s="48">
        <f t="shared" ca="1" si="53"/>
        <v>0</v>
      </c>
      <c r="AL269" s="48">
        <f t="shared" ca="1" si="54"/>
        <v>0</v>
      </c>
      <c r="AM269" s="48">
        <f t="shared" ca="1" si="55"/>
        <v>0</v>
      </c>
      <c r="AN269" s="48">
        <f t="shared" ca="1" si="56"/>
        <v>0</v>
      </c>
    </row>
    <row r="270" spans="1:40" x14ac:dyDescent="0.2">
      <c r="T270" s="75" t="str">
        <f t="shared" ca="1" si="48"/>
        <v/>
      </c>
      <c r="U270" s="76">
        <f t="shared" ca="1" si="49"/>
        <v>0</v>
      </c>
      <c r="X270" s="75" t="str">
        <f ca="1">IF(OFFSET(ZonNummer,27,0,1,1)&lt;&gt;"",CONCATENATE(OFFSET(ZonNummer,27,0,1,1)," ",OFFSET(ZonNummer,27,1,1,1)),"")</f>
        <v/>
      </c>
      <c r="Y270" s="77">
        <f ca="1">OFFSET(ZonNummer,27,4,1,1)</f>
        <v>0</v>
      </c>
      <c r="Z270" s="77">
        <f ca="1">OFFSET(ZonNummer,27,5,1,1)</f>
        <v>0</v>
      </c>
      <c r="AA270" s="77">
        <f ca="1">OFFSET(ZonNummer,27,6,1,1)</f>
        <v>0</v>
      </c>
      <c r="AC270" s="75" t="str">
        <f ca="1">IF(OFFSET(ZonNummer,27,0,1,1)&lt;&gt;"",CONCATENATE(OFFSET(ZonNummer,27,0,1,1)," ",OFFSET(ZonNummer,27,1,1,1)),"")</f>
        <v/>
      </c>
      <c r="AD270" s="78">
        <f ca="1">OFFSET(ZonNummer,27,7,1,1)</f>
        <v>0</v>
      </c>
      <c r="AE270" s="78">
        <f ca="1">OFFSET(ZonNummer,27,8,1,1)</f>
        <v>0</v>
      </c>
      <c r="AG270" s="3">
        <v>4</v>
      </c>
      <c r="AH270" s="48">
        <f t="shared" ca="1" si="50"/>
        <v>0</v>
      </c>
      <c r="AI270" s="48">
        <f t="shared" ca="1" si="51"/>
        <v>0</v>
      </c>
      <c r="AJ270" s="48">
        <f t="shared" ca="1" si="52"/>
        <v>0</v>
      </c>
      <c r="AK270" s="48">
        <f t="shared" ca="1" si="53"/>
        <v>0</v>
      </c>
      <c r="AL270" s="48">
        <f t="shared" ca="1" si="54"/>
        <v>0</v>
      </c>
      <c r="AM270" s="48">
        <f t="shared" ca="1" si="55"/>
        <v>0</v>
      </c>
      <c r="AN270" s="48">
        <f t="shared" ca="1" si="56"/>
        <v>0</v>
      </c>
    </row>
    <row r="271" spans="1:40" x14ac:dyDescent="0.2">
      <c r="T271" s="75" t="str">
        <f t="shared" ca="1" si="48"/>
        <v/>
      </c>
      <c r="U271" s="76">
        <f t="shared" ca="1" si="49"/>
        <v>0</v>
      </c>
      <c r="X271" s="75" t="str">
        <f ca="1">IF(OFFSET(ZonNummer,28,0,1,1)&lt;&gt;"",CONCATENATE(OFFSET(ZonNummer,28,0,1,1)," ",OFFSET(ZonNummer,28,1,1,1)),"")</f>
        <v/>
      </c>
      <c r="Y271" s="77">
        <f ca="1">OFFSET(ZonNummer,28,4,1,1)</f>
        <v>0</v>
      </c>
      <c r="Z271" s="77">
        <f ca="1">OFFSET(ZonNummer,28,5,1,1)</f>
        <v>0</v>
      </c>
      <c r="AA271" s="77">
        <f ca="1">OFFSET(ZonNummer,28,6,1,1)</f>
        <v>0</v>
      </c>
      <c r="AC271" s="75" t="str">
        <f ca="1">IF(OFFSET(ZonNummer,28,0,1,1)&lt;&gt;"",CONCATENATE(OFFSET(ZonNummer,28,0,1,1)," ",OFFSET(ZonNummer,28,1,1,1)),"")</f>
        <v/>
      </c>
      <c r="AD271" s="78">
        <f ca="1">OFFSET(ZonNummer,28,7,1,1)</f>
        <v>0</v>
      </c>
      <c r="AE271" s="78">
        <f ca="1">OFFSET(ZonNummer,28,8,1,1)</f>
        <v>0</v>
      </c>
      <c r="AG271" s="3">
        <v>5</v>
      </c>
      <c r="AH271" s="48">
        <f t="shared" ca="1" si="50"/>
        <v>0</v>
      </c>
      <c r="AI271" s="48">
        <f t="shared" ca="1" si="51"/>
        <v>0</v>
      </c>
      <c r="AJ271" s="48">
        <f t="shared" ca="1" si="52"/>
        <v>0</v>
      </c>
      <c r="AK271" s="48">
        <f t="shared" ca="1" si="53"/>
        <v>0</v>
      </c>
      <c r="AL271" s="48">
        <f t="shared" ca="1" si="54"/>
        <v>0</v>
      </c>
      <c r="AM271" s="48">
        <f t="shared" ca="1" si="55"/>
        <v>0</v>
      </c>
      <c r="AN271" s="48">
        <f t="shared" ca="1" si="56"/>
        <v>0</v>
      </c>
    </row>
    <row r="272" spans="1:40" x14ac:dyDescent="0.2">
      <c r="T272" s="75" t="str">
        <f t="shared" ca="1" si="48"/>
        <v/>
      </c>
      <c r="U272" s="76">
        <f t="shared" ca="1" si="49"/>
        <v>0</v>
      </c>
      <c r="X272" s="75" t="str">
        <f ca="1">IF(OFFSET(ZonNummer,29,0,1,1)&lt;&gt;"",CONCATENATE(OFFSET(ZonNummer,29,0,1,1)," ",OFFSET(ZonNummer,29,1,1,1)),"")</f>
        <v/>
      </c>
      <c r="Y272" s="77">
        <f ca="1">OFFSET(ZonNummer,29,4,1,1)</f>
        <v>0</v>
      </c>
      <c r="Z272" s="77">
        <f ca="1">OFFSET(ZonNummer,29,5,1,1)</f>
        <v>0</v>
      </c>
      <c r="AA272" s="77">
        <f ca="1">OFFSET(ZonNummer,29,6,1,1)</f>
        <v>0</v>
      </c>
      <c r="AC272" s="75" t="str">
        <f ca="1">IF(OFFSET(ZonNummer,29,0,1,1)&lt;&gt;"",CONCATENATE(OFFSET(ZonNummer,29,0,1,1)," ",OFFSET(ZonNummer,29,1,1,1)),"")</f>
        <v/>
      </c>
      <c r="AD272" s="78">
        <f ca="1">OFFSET(ZonNummer,29,7,1,1)</f>
        <v>0</v>
      </c>
      <c r="AE272" s="78">
        <f ca="1">OFFSET(ZonNummer,29,8,1,1)</f>
        <v>0</v>
      </c>
      <c r="AG272" s="3">
        <v>6</v>
      </c>
      <c r="AH272" s="48">
        <f t="shared" ca="1" si="50"/>
        <v>0</v>
      </c>
      <c r="AI272" s="48">
        <f t="shared" ca="1" si="51"/>
        <v>0</v>
      </c>
      <c r="AJ272" s="48">
        <f t="shared" ca="1" si="52"/>
        <v>0</v>
      </c>
      <c r="AK272" s="48">
        <f t="shared" ca="1" si="53"/>
        <v>0</v>
      </c>
      <c r="AL272" s="48">
        <f t="shared" ca="1" si="54"/>
        <v>0</v>
      </c>
      <c r="AM272" s="48">
        <f t="shared" ca="1" si="55"/>
        <v>0</v>
      </c>
      <c r="AN272" s="48">
        <f t="shared" ca="1" si="56"/>
        <v>0</v>
      </c>
    </row>
    <row r="273" spans="20:40" x14ac:dyDescent="0.2">
      <c r="T273" s="75" t="str">
        <f t="shared" ca="1" si="48"/>
        <v/>
      </c>
      <c r="U273" s="76">
        <f t="shared" ca="1" si="49"/>
        <v>0</v>
      </c>
      <c r="X273" s="75" t="str">
        <f ca="1">IF(OFFSET(ZonNummer,30,0,1,1)&lt;&gt;"",CONCATENATE(OFFSET(ZonNummer,30,0,1,1)," ",OFFSET(ZonNummer,30,1,1,1)),"")</f>
        <v/>
      </c>
      <c r="Y273" s="77">
        <f ca="1">OFFSET(ZonNummer,30,4,1,1)</f>
        <v>0</v>
      </c>
      <c r="Z273" s="77">
        <f ca="1">OFFSET(ZonNummer,30,5,1,1)</f>
        <v>0</v>
      </c>
      <c r="AA273" s="77">
        <f ca="1">OFFSET(ZonNummer,30,6,1,1)</f>
        <v>0</v>
      </c>
      <c r="AC273" s="75" t="str">
        <f ca="1">IF(OFFSET(ZonNummer,30,0,1,1)&lt;&gt;"",CONCATENATE(OFFSET(ZonNummer,30,0,1,1)," ",OFFSET(ZonNummer,30,1,1,1)),"")</f>
        <v/>
      </c>
      <c r="AD273" s="78">
        <f ca="1">OFFSET(ZonNummer,30,7,1,1)</f>
        <v>0</v>
      </c>
      <c r="AE273" s="78">
        <f ca="1">OFFSET(ZonNummer,30,8,1,1)</f>
        <v>0</v>
      </c>
      <c r="AG273" s="3">
        <v>7</v>
      </c>
      <c r="AH273" s="48">
        <f t="shared" ca="1" si="50"/>
        <v>0</v>
      </c>
      <c r="AI273" s="48">
        <f t="shared" ca="1" si="51"/>
        <v>0</v>
      </c>
      <c r="AJ273" s="48">
        <f t="shared" ca="1" si="52"/>
        <v>0</v>
      </c>
      <c r="AK273" s="48">
        <f t="shared" ca="1" si="53"/>
        <v>0</v>
      </c>
      <c r="AL273" s="48">
        <f t="shared" ca="1" si="54"/>
        <v>0</v>
      </c>
      <c r="AM273" s="48">
        <f t="shared" ca="1" si="55"/>
        <v>0</v>
      </c>
      <c r="AN273" s="48">
        <f t="shared" ca="1" si="56"/>
        <v>0</v>
      </c>
    </row>
    <row r="274" spans="20:40" x14ac:dyDescent="0.2">
      <c r="T274" s="75" t="str">
        <f t="shared" ca="1" si="48"/>
        <v/>
      </c>
      <c r="U274" s="76">
        <f t="shared" ca="1" si="49"/>
        <v>0</v>
      </c>
      <c r="X274" s="75" t="str">
        <f ca="1">IF(OFFSET(ZonNummer,31,0,1,1)&lt;&gt;"",CONCATENATE(OFFSET(ZonNummer,31,0,1,1)," ",OFFSET(ZonNummer,31,1,1,1)),"")</f>
        <v/>
      </c>
      <c r="Y274" s="77">
        <f ca="1">OFFSET(ZonNummer,31,4,1,1)</f>
        <v>0</v>
      </c>
      <c r="Z274" s="77">
        <f ca="1">OFFSET(ZonNummer,31,5,1,1)</f>
        <v>0</v>
      </c>
      <c r="AA274" s="77">
        <f ca="1">OFFSET(ZonNummer,31,6,1,1)</f>
        <v>0</v>
      </c>
      <c r="AC274" s="75" t="str">
        <f ca="1">IF(OFFSET(ZonNummer,31,0,1,1)&lt;&gt;"",CONCATENATE(OFFSET(ZonNummer,31,0,1,1)," ",OFFSET(ZonNummer,31,1,1,1)),"")</f>
        <v/>
      </c>
      <c r="AD274" s="78">
        <f ca="1">OFFSET(ZonNummer,31,7,1,1)</f>
        <v>0</v>
      </c>
      <c r="AE274" s="78">
        <f ca="1">OFFSET(ZonNummer,31,8,1,1)</f>
        <v>0</v>
      </c>
      <c r="AG274" s="3">
        <v>8</v>
      </c>
      <c r="AH274" s="48">
        <f t="shared" ca="1" si="50"/>
        <v>0</v>
      </c>
      <c r="AI274" s="48">
        <f t="shared" ca="1" si="51"/>
        <v>0</v>
      </c>
      <c r="AJ274" s="48">
        <f t="shared" ca="1" si="52"/>
        <v>0</v>
      </c>
      <c r="AK274" s="48">
        <f t="shared" ca="1" si="53"/>
        <v>0</v>
      </c>
      <c r="AL274" s="48">
        <f t="shared" ca="1" si="54"/>
        <v>0</v>
      </c>
      <c r="AM274" s="48">
        <f t="shared" ca="1" si="55"/>
        <v>0</v>
      </c>
      <c r="AN274" s="48">
        <f t="shared" ca="1" si="56"/>
        <v>0</v>
      </c>
    </row>
    <row r="275" spans="20:40" x14ac:dyDescent="0.2">
      <c r="T275" s="75" t="str">
        <f t="shared" ca="1" si="48"/>
        <v/>
      </c>
      <c r="U275" s="76">
        <f t="shared" ca="1" si="49"/>
        <v>0</v>
      </c>
      <c r="X275" s="75" t="str">
        <f ca="1">IF(OFFSET(ZonNummer,32,0,1,1)&lt;&gt;"",CONCATENATE(OFFSET(ZonNummer,32,0,1,1)," ",OFFSET(ZonNummer,32,1,1,1)),"")</f>
        <v/>
      </c>
      <c r="Y275" s="77">
        <f ca="1">OFFSET(ZonNummer,32,4,1,1)</f>
        <v>0</v>
      </c>
      <c r="Z275" s="77">
        <f ca="1">OFFSET(ZonNummer,32,5,1,1)</f>
        <v>0</v>
      </c>
      <c r="AA275" s="77">
        <f ca="1">OFFSET(ZonNummer,32,6,1,1)</f>
        <v>0</v>
      </c>
      <c r="AC275" s="75" t="str">
        <f ca="1">IF(OFFSET(ZonNummer,32,0,1,1)&lt;&gt;"",CONCATENATE(OFFSET(ZonNummer,32,0,1,1)," ",OFFSET(ZonNummer,32,1,1,1)),"")</f>
        <v/>
      </c>
      <c r="AD275" s="78">
        <f ca="1">OFFSET(ZonNummer,32,7,1,1)</f>
        <v>0</v>
      </c>
      <c r="AE275" s="78">
        <f ca="1">OFFSET(ZonNummer,32,8,1,1)</f>
        <v>0</v>
      </c>
      <c r="AG275" s="3">
        <v>9</v>
      </c>
      <c r="AH275" s="48">
        <f t="shared" ca="1" si="50"/>
        <v>0</v>
      </c>
      <c r="AI275" s="48">
        <f t="shared" ca="1" si="51"/>
        <v>0</v>
      </c>
      <c r="AJ275" s="48">
        <f t="shared" ca="1" si="52"/>
        <v>0</v>
      </c>
      <c r="AK275" s="48">
        <f t="shared" ca="1" si="53"/>
        <v>0</v>
      </c>
      <c r="AL275" s="48">
        <f t="shared" ca="1" si="54"/>
        <v>0</v>
      </c>
      <c r="AM275" s="48">
        <f t="shared" ca="1" si="55"/>
        <v>0</v>
      </c>
      <c r="AN275" s="48">
        <f t="shared" ca="1" si="56"/>
        <v>0</v>
      </c>
    </row>
    <row r="276" spans="20:40" x14ac:dyDescent="0.2">
      <c r="T276" s="75" t="str">
        <f t="shared" ca="1" si="48"/>
        <v/>
      </c>
      <c r="U276" s="76">
        <f t="shared" ca="1" si="49"/>
        <v>0</v>
      </c>
      <c r="X276" s="75" t="str">
        <f ca="1">IF(OFFSET(ZonNummer,33,0,1,1)&lt;&gt;"",CONCATENATE(OFFSET(ZonNummer,33,0,1,1)," ",OFFSET(ZonNummer,33,1,1,1)),"")</f>
        <v/>
      </c>
      <c r="Y276" s="77">
        <f ca="1">OFFSET(ZonNummer,33,4,1,1)</f>
        <v>0</v>
      </c>
      <c r="Z276" s="77">
        <f ca="1">OFFSET(ZonNummer,33,5,1,1)</f>
        <v>0</v>
      </c>
      <c r="AA276" s="77">
        <f ca="1">OFFSET(ZonNummer,33,6,1,1)</f>
        <v>0</v>
      </c>
      <c r="AC276" s="75" t="str">
        <f ca="1">IF(OFFSET(ZonNummer,33,0,1,1)&lt;&gt;"",CONCATENATE(OFFSET(ZonNummer,33,0,1,1)," ",OFFSET(ZonNummer,33,1,1,1)),"")</f>
        <v/>
      </c>
      <c r="AD276" s="78">
        <f ca="1">OFFSET(ZonNummer,33,7,1,1)</f>
        <v>0</v>
      </c>
      <c r="AE276" s="78">
        <f ca="1">OFFSET(ZonNummer,33,8,1,1)</f>
        <v>0</v>
      </c>
      <c r="AG276" s="3">
        <v>10</v>
      </c>
      <c r="AH276" s="48">
        <f t="shared" ca="1" si="50"/>
        <v>0</v>
      </c>
      <c r="AI276" s="48">
        <f t="shared" ca="1" si="51"/>
        <v>0</v>
      </c>
      <c r="AJ276" s="48">
        <f t="shared" ca="1" si="52"/>
        <v>0</v>
      </c>
      <c r="AK276" s="48">
        <f t="shared" ca="1" si="53"/>
        <v>0</v>
      </c>
      <c r="AL276" s="48">
        <f t="shared" ca="1" si="54"/>
        <v>0</v>
      </c>
      <c r="AM276" s="48">
        <f t="shared" ca="1" si="55"/>
        <v>0</v>
      </c>
      <c r="AN276" s="48">
        <f t="shared" ca="1" si="56"/>
        <v>0</v>
      </c>
    </row>
    <row r="277" spans="20:40" x14ac:dyDescent="0.2">
      <c r="T277" s="75" t="str">
        <f t="shared" ca="1" si="48"/>
        <v/>
      </c>
      <c r="U277" s="76">
        <f t="shared" ca="1" si="49"/>
        <v>0</v>
      </c>
      <c r="X277" s="75" t="str">
        <f ca="1">IF(OFFSET(ZonNummer,34,0,1,1)&lt;&gt;"",CONCATENATE(OFFSET(ZonNummer,34,0,1,1)," ",OFFSET(ZonNummer,34,1,1,1)),"")</f>
        <v/>
      </c>
      <c r="Y277" s="77">
        <f ca="1">OFFSET(ZonNummer,34,4,1,1)</f>
        <v>0</v>
      </c>
      <c r="Z277" s="77">
        <f ca="1">OFFSET(ZonNummer,34,5,1,1)</f>
        <v>0</v>
      </c>
      <c r="AA277" s="77">
        <f ca="1">OFFSET(ZonNummer,34,6,1,1)</f>
        <v>0</v>
      </c>
      <c r="AC277" s="75" t="str">
        <f ca="1">IF(OFFSET(ZonNummer,34,0,1,1)&lt;&gt;"",CONCATENATE(OFFSET(ZonNummer,34,0,1,1)," ",OFFSET(ZonNummer,34,1,1,1)),"")</f>
        <v/>
      </c>
      <c r="AD277" s="78">
        <f ca="1">OFFSET(ZonNummer,34,7,1,1)</f>
        <v>0</v>
      </c>
      <c r="AE277" s="78">
        <f ca="1">OFFSET(ZonNummer,34,8,1,1)</f>
        <v>0</v>
      </c>
      <c r="AG277" s="3">
        <v>11</v>
      </c>
      <c r="AH277" s="48">
        <f t="shared" ca="1" si="50"/>
        <v>0</v>
      </c>
      <c r="AI277" s="48">
        <f t="shared" ca="1" si="51"/>
        <v>0</v>
      </c>
      <c r="AJ277" s="48">
        <f t="shared" ca="1" si="52"/>
        <v>0</v>
      </c>
      <c r="AK277" s="48">
        <f t="shared" ca="1" si="53"/>
        <v>0</v>
      </c>
      <c r="AL277" s="48">
        <f t="shared" ca="1" si="54"/>
        <v>0</v>
      </c>
      <c r="AM277" s="48">
        <f t="shared" ca="1" si="55"/>
        <v>0</v>
      </c>
      <c r="AN277" s="48">
        <f t="shared" ca="1" si="56"/>
        <v>0</v>
      </c>
    </row>
    <row r="278" spans="20:40" x14ac:dyDescent="0.2">
      <c r="T278" s="75" t="str">
        <f t="shared" ca="1" si="48"/>
        <v/>
      </c>
      <c r="U278" s="76">
        <f t="shared" ca="1" si="49"/>
        <v>0</v>
      </c>
      <c r="X278" s="75" t="str">
        <f ca="1">IF(OFFSET(ZonNummer,35,0,1,1)&lt;&gt;"",CONCATENATE(OFFSET(ZonNummer,35,0,1,1)," ",OFFSET(ZonNummer,35,1,1,1)),"")</f>
        <v/>
      </c>
      <c r="Y278" s="77">
        <f ca="1">OFFSET(ZonNummer,35,4,1,1)</f>
        <v>0</v>
      </c>
      <c r="Z278" s="77">
        <f ca="1">OFFSET(ZonNummer,35,5,1,1)</f>
        <v>0</v>
      </c>
      <c r="AA278" s="77">
        <f ca="1">OFFSET(ZonNummer,35,6,1,1)</f>
        <v>0</v>
      </c>
      <c r="AC278" s="75" t="str">
        <f ca="1">IF(OFFSET(ZonNummer,35,0,1,1)&lt;&gt;"",CONCATENATE(OFFSET(ZonNummer,35,0,1,1)," ",OFFSET(ZonNummer,35,1,1,1)),"")</f>
        <v/>
      </c>
      <c r="AD278" s="78">
        <f ca="1">OFFSET(ZonNummer,35,7,1,1)</f>
        <v>0</v>
      </c>
      <c r="AE278" s="78">
        <f ca="1">OFFSET(ZonNummer,35,8,1,1)</f>
        <v>0</v>
      </c>
      <c r="AG278" s="3">
        <v>12</v>
      </c>
      <c r="AH278" s="48">
        <f t="shared" ca="1" si="50"/>
        <v>0</v>
      </c>
      <c r="AI278" s="48">
        <f t="shared" ca="1" si="51"/>
        <v>0</v>
      </c>
      <c r="AJ278" s="48">
        <f t="shared" ca="1" si="52"/>
        <v>0</v>
      </c>
      <c r="AK278" s="48">
        <f t="shared" ca="1" si="53"/>
        <v>0</v>
      </c>
      <c r="AL278" s="48">
        <f t="shared" ca="1" si="54"/>
        <v>0</v>
      </c>
      <c r="AM278" s="48">
        <f t="shared" ca="1" si="55"/>
        <v>0</v>
      </c>
      <c r="AN278" s="48">
        <f t="shared" ca="1" si="56"/>
        <v>0</v>
      </c>
    </row>
    <row r="279" spans="20:40" x14ac:dyDescent="0.2">
      <c r="T279" s="75" t="str">
        <f t="shared" ca="1" si="48"/>
        <v/>
      </c>
      <c r="U279" s="76">
        <f t="shared" ca="1" si="49"/>
        <v>0</v>
      </c>
      <c r="X279" s="75" t="str">
        <f ca="1">IF(OFFSET(ZonNummer,36,0,1,1)&lt;&gt;"",CONCATENATE(OFFSET(ZonNummer,36,0,1,1)," ",OFFSET(ZonNummer,36,1,1,1)),"")</f>
        <v/>
      </c>
      <c r="Y279" s="77">
        <f ca="1">OFFSET(ZonNummer,36,4,1,1)</f>
        <v>0</v>
      </c>
      <c r="Z279" s="77">
        <f ca="1">OFFSET(ZonNummer,36,5,1,1)</f>
        <v>0</v>
      </c>
      <c r="AA279" s="77">
        <f ca="1">OFFSET(ZonNummer,36,6,1,1)</f>
        <v>0</v>
      </c>
      <c r="AC279" s="75" t="str">
        <f ca="1">IF(OFFSET(ZonNummer,36,0,1,1)&lt;&gt;"",CONCATENATE(OFFSET(ZonNummer,36,0,1,1)," ",OFFSET(ZonNummer,36,1,1,1)),"")</f>
        <v/>
      </c>
      <c r="AD279" s="78">
        <f ca="1">OFFSET(ZonNummer,36,7,1,1)</f>
        <v>0</v>
      </c>
      <c r="AE279" s="78">
        <f ca="1">OFFSET(ZonNummer,36,8,1,1)</f>
        <v>0</v>
      </c>
      <c r="AG279" s="3">
        <v>13</v>
      </c>
      <c r="AH279" s="48">
        <f t="shared" ca="1" si="50"/>
        <v>0</v>
      </c>
      <c r="AI279" s="48">
        <f t="shared" ca="1" si="51"/>
        <v>0</v>
      </c>
      <c r="AJ279" s="48">
        <f t="shared" ca="1" si="52"/>
        <v>0</v>
      </c>
      <c r="AK279" s="48">
        <f t="shared" ca="1" si="53"/>
        <v>0</v>
      </c>
      <c r="AL279" s="48">
        <f t="shared" ca="1" si="54"/>
        <v>0</v>
      </c>
      <c r="AM279" s="48">
        <f t="shared" ca="1" si="55"/>
        <v>0</v>
      </c>
      <c r="AN279" s="48">
        <f t="shared" ca="1" si="56"/>
        <v>0</v>
      </c>
    </row>
    <row r="280" spans="20:40" x14ac:dyDescent="0.2">
      <c r="T280" s="75" t="str">
        <f t="shared" ca="1" si="48"/>
        <v/>
      </c>
      <c r="U280" s="76">
        <f t="shared" ca="1" si="49"/>
        <v>0</v>
      </c>
      <c r="X280" s="75" t="str">
        <f ca="1">IF(OFFSET(ZonNummer,37,0,1,1)&lt;&gt;"",CONCATENATE(OFFSET(ZonNummer,37,0,1,1)," ",OFFSET(ZonNummer,37,1,1,1)),"")</f>
        <v/>
      </c>
      <c r="Y280" s="77">
        <f ca="1">OFFSET(ZonNummer,37,4,1,1)</f>
        <v>0</v>
      </c>
      <c r="Z280" s="77">
        <f ca="1">OFFSET(ZonNummer,37,5,1,1)</f>
        <v>0</v>
      </c>
      <c r="AA280" s="77">
        <f ca="1">OFFSET(ZonNummer,37,6,1,1)</f>
        <v>0</v>
      </c>
      <c r="AC280" s="75" t="str">
        <f ca="1">IF(OFFSET(ZonNummer,37,0,1,1)&lt;&gt;"",CONCATENATE(OFFSET(ZonNummer,37,0,1,1)," ",OFFSET(ZonNummer,37,1,1,1)),"")</f>
        <v/>
      </c>
      <c r="AD280" s="78">
        <f ca="1">OFFSET(ZonNummer,37,7,1,1)</f>
        <v>0</v>
      </c>
      <c r="AE280" s="78">
        <f ca="1">OFFSET(ZonNummer,37,8,1,1)</f>
        <v>0</v>
      </c>
      <c r="AG280" s="3">
        <v>14</v>
      </c>
      <c r="AH280" s="48">
        <f t="shared" ca="1" si="50"/>
        <v>0</v>
      </c>
      <c r="AI280" s="48">
        <f t="shared" ca="1" si="51"/>
        <v>0</v>
      </c>
      <c r="AJ280" s="48">
        <f t="shared" ca="1" si="52"/>
        <v>0</v>
      </c>
      <c r="AK280" s="48">
        <f t="shared" ca="1" si="53"/>
        <v>0</v>
      </c>
      <c r="AL280" s="48">
        <f t="shared" ca="1" si="54"/>
        <v>0</v>
      </c>
      <c r="AM280" s="48">
        <f t="shared" ca="1" si="55"/>
        <v>0</v>
      </c>
      <c r="AN280" s="48">
        <f t="shared" ca="1" si="56"/>
        <v>0</v>
      </c>
    </row>
    <row r="281" spans="20:40" x14ac:dyDescent="0.2">
      <c r="T281" s="75" t="str">
        <f t="shared" ca="1" si="48"/>
        <v/>
      </c>
      <c r="U281" s="76">
        <f t="shared" ca="1" si="49"/>
        <v>0</v>
      </c>
      <c r="X281" s="75" t="str">
        <f ca="1">IF(OFFSET(ZonNummer,38,0,1,1)&lt;&gt;"",CONCATENATE(OFFSET(ZonNummer,38,0,1,1)," ",OFFSET(ZonNummer,38,1,1,1)),"")</f>
        <v/>
      </c>
      <c r="Y281" s="77">
        <f ca="1">OFFSET(ZonNummer,38,4,1,1)</f>
        <v>0</v>
      </c>
      <c r="Z281" s="77">
        <f ca="1">OFFSET(ZonNummer,38,5,1,1)</f>
        <v>0</v>
      </c>
      <c r="AA281" s="77">
        <f ca="1">OFFSET(ZonNummer,38,6,1,1)</f>
        <v>0</v>
      </c>
      <c r="AC281" s="75" t="str">
        <f ca="1">IF(OFFSET(ZonNummer,38,0,1,1)&lt;&gt;"",CONCATENATE(OFFSET(ZonNummer,38,0,1,1)," ",OFFSET(ZonNummer,38,1,1,1)),"")</f>
        <v/>
      </c>
      <c r="AD281" s="78">
        <f ca="1">OFFSET(ZonNummer,38,7,1,1)</f>
        <v>0</v>
      </c>
      <c r="AE281" s="78">
        <f ca="1">OFFSET(ZonNummer,38,8,1,1)</f>
        <v>0</v>
      </c>
      <c r="AG281" s="3">
        <v>15</v>
      </c>
      <c r="AH281" s="48">
        <f t="shared" ca="1" si="50"/>
        <v>0</v>
      </c>
      <c r="AI281" s="48">
        <f t="shared" ca="1" si="51"/>
        <v>0</v>
      </c>
      <c r="AJ281" s="48">
        <f t="shared" ca="1" si="52"/>
        <v>0</v>
      </c>
      <c r="AK281" s="48">
        <f t="shared" ca="1" si="53"/>
        <v>0</v>
      </c>
      <c r="AL281" s="48">
        <f t="shared" ca="1" si="54"/>
        <v>0</v>
      </c>
      <c r="AM281" s="48">
        <f t="shared" ca="1" si="55"/>
        <v>0</v>
      </c>
      <c r="AN281" s="48">
        <f t="shared" ca="1" si="56"/>
        <v>0</v>
      </c>
    </row>
    <row r="282" spans="20:40" x14ac:dyDescent="0.2">
      <c r="T282" s="75" t="str">
        <f t="shared" ca="1" si="48"/>
        <v/>
      </c>
      <c r="U282" s="76">
        <f t="shared" ca="1" si="49"/>
        <v>0</v>
      </c>
      <c r="X282" s="75" t="str">
        <f ca="1">IF(OFFSET(ZonNummer,39,0,1,1)&lt;&gt;"",CONCATENATE(OFFSET(ZonNummer,39,0,1,1)," ",OFFSET(ZonNummer,39,1,1,1)),"")</f>
        <v/>
      </c>
      <c r="Y282" s="77">
        <f ca="1">OFFSET(ZonNummer,39,4,1,1)</f>
        <v>0</v>
      </c>
      <c r="Z282" s="77">
        <f ca="1">OFFSET(ZonNummer,39,5,1,1)</f>
        <v>0</v>
      </c>
      <c r="AA282" s="77">
        <f ca="1">OFFSET(ZonNummer,39,6,1,1)</f>
        <v>0</v>
      </c>
      <c r="AC282" s="75" t="str">
        <f ca="1">IF(OFFSET(ZonNummer,39,0,1,1)&lt;&gt;"",CONCATENATE(OFFSET(ZonNummer,39,0,1,1)," ",OFFSET(ZonNummer,39,1,1,1)),"")</f>
        <v/>
      </c>
      <c r="AD282" s="78">
        <f ca="1">OFFSET(ZonNummer,39,7,1,1)</f>
        <v>0</v>
      </c>
      <c r="AE282" s="78">
        <f ca="1">OFFSET(ZonNummer,39,8,1,1)</f>
        <v>0</v>
      </c>
      <c r="AG282" s="3">
        <v>16</v>
      </c>
      <c r="AH282" s="48">
        <f t="shared" ca="1" si="50"/>
        <v>0</v>
      </c>
      <c r="AI282" s="48">
        <f t="shared" ca="1" si="51"/>
        <v>0</v>
      </c>
      <c r="AJ282" s="48">
        <f t="shared" ca="1" si="52"/>
        <v>0</v>
      </c>
      <c r="AK282" s="48">
        <f t="shared" ca="1" si="53"/>
        <v>0</v>
      </c>
      <c r="AL282" s="48">
        <f t="shared" ca="1" si="54"/>
        <v>0</v>
      </c>
      <c r="AM282" s="48">
        <f t="shared" ca="1" si="55"/>
        <v>0</v>
      </c>
      <c r="AN282" s="48">
        <f t="shared" ca="1" si="56"/>
        <v>0</v>
      </c>
    </row>
    <row r="283" spans="20:40" x14ac:dyDescent="0.2">
      <c r="T283" s="75" t="str">
        <f t="shared" ca="1" si="48"/>
        <v/>
      </c>
      <c r="U283" s="76">
        <f t="shared" ca="1" si="49"/>
        <v>0</v>
      </c>
      <c r="X283" s="75" t="str">
        <f ca="1">IF(OFFSET(ZonNummer,40,0,1,1)&lt;&gt;"",CONCATENATE(OFFSET(ZonNummer,40,0,1,1)," ",OFFSET(ZonNummer,40,1,1,1)),"")</f>
        <v/>
      </c>
      <c r="Y283" s="77">
        <f ca="1">OFFSET(ZonNummer,40,4,1,1)</f>
        <v>0</v>
      </c>
      <c r="Z283" s="77">
        <f ca="1">OFFSET(ZonNummer,40,5,1,1)</f>
        <v>0</v>
      </c>
      <c r="AA283" s="77">
        <f ca="1">OFFSET(ZonNummer,40,6,1,1)</f>
        <v>0</v>
      </c>
      <c r="AC283" s="75" t="str">
        <f ca="1">IF(OFFSET(ZonNummer,40,0,1,1)&lt;&gt;"",CONCATENATE(OFFSET(ZonNummer,40,0,1,1)," ",OFFSET(ZonNummer,40,1,1,1)),"")</f>
        <v/>
      </c>
      <c r="AD283" s="78">
        <f ca="1">OFFSET(ZonNummer,40,7,1,1)</f>
        <v>0</v>
      </c>
      <c r="AE283" s="78">
        <f ca="1">OFFSET(ZonNummer,40,8,1,1)</f>
        <v>0</v>
      </c>
      <c r="AG283" s="3">
        <v>17</v>
      </c>
      <c r="AH283" s="48">
        <f t="shared" ca="1" si="50"/>
        <v>0</v>
      </c>
      <c r="AI283" s="48">
        <f t="shared" ca="1" si="51"/>
        <v>0</v>
      </c>
      <c r="AJ283" s="48">
        <f t="shared" ca="1" si="52"/>
        <v>0</v>
      </c>
      <c r="AK283" s="48">
        <f t="shared" ca="1" si="53"/>
        <v>0</v>
      </c>
      <c r="AL283" s="48">
        <f t="shared" ca="1" si="54"/>
        <v>0</v>
      </c>
      <c r="AM283" s="48">
        <f t="shared" ca="1" si="55"/>
        <v>0</v>
      </c>
      <c r="AN283" s="48">
        <f t="shared" ca="1" si="56"/>
        <v>0</v>
      </c>
    </row>
    <row r="284" spans="20:40" x14ac:dyDescent="0.2">
      <c r="T284" s="75" t="str">
        <f t="shared" ca="1" si="48"/>
        <v/>
      </c>
      <c r="U284" s="76">
        <f t="shared" ca="1" si="49"/>
        <v>0</v>
      </c>
      <c r="X284" s="75" t="str">
        <f ca="1">IF(OFFSET(ZonNummer,41,0,1,1)&lt;&gt;"",CONCATENATE(OFFSET(ZonNummer,41,0,1,1)," ",OFFSET(ZonNummer,41,1,1,1)),"")</f>
        <v/>
      </c>
      <c r="Y284" s="77">
        <f ca="1">OFFSET(ZonNummer,41,4,1,1)</f>
        <v>0</v>
      </c>
      <c r="Z284" s="77">
        <f ca="1">OFFSET(ZonNummer,41,5,1,1)</f>
        <v>0</v>
      </c>
      <c r="AA284" s="77">
        <f ca="1">OFFSET(ZonNummer,41,6,1,1)</f>
        <v>0</v>
      </c>
      <c r="AC284" s="75" t="str">
        <f ca="1">IF(OFFSET(ZonNummer,41,0,1,1)&lt;&gt;"",CONCATENATE(OFFSET(ZonNummer,41,0,1,1)," ",OFFSET(ZonNummer,41,1,1,1)),"")</f>
        <v/>
      </c>
      <c r="AD284" s="78">
        <f ca="1">OFFSET(ZonNummer,41,7,1,1)</f>
        <v>0</v>
      </c>
      <c r="AE284" s="78">
        <f ca="1">OFFSET(ZonNummer,41,8,1,1)</f>
        <v>0</v>
      </c>
      <c r="AG284" s="3">
        <v>18</v>
      </c>
      <c r="AH284" s="48">
        <f t="shared" ca="1" si="50"/>
        <v>0</v>
      </c>
      <c r="AI284" s="48">
        <f t="shared" ca="1" si="51"/>
        <v>0</v>
      </c>
      <c r="AJ284" s="48">
        <f t="shared" ca="1" si="52"/>
        <v>0</v>
      </c>
      <c r="AK284" s="48">
        <f t="shared" ca="1" si="53"/>
        <v>0</v>
      </c>
      <c r="AL284" s="48">
        <f t="shared" ca="1" si="54"/>
        <v>0</v>
      </c>
      <c r="AM284" s="48">
        <f t="shared" ca="1" si="55"/>
        <v>0</v>
      </c>
      <c r="AN284" s="48">
        <f t="shared" ca="1" si="56"/>
        <v>0</v>
      </c>
    </row>
    <row r="285" spans="20:40" x14ac:dyDescent="0.2">
      <c r="T285" s="75" t="str">
        <f t="shared" ca="1" si="48"/>
        <v/>
      </c>
      <c r="U285" s="76">
        <f t="shared" ca="1" si="49"/>
        <v>0</v>
      </c>
      <c r="X285" s="75" t="str">
        <f ca="1">IF(OFFSET(ZonNummer,42,0,1,1)&lt;&gt;"",CONCATENATE(OFFSET(ZonNummer,42,0,1,1)," ",OFFSET(ZonNummer,42,1,1,1)),"")</f>
        <v/>
      </c>
      <c r="Y285" s="77">
        <f ca="1">OFFSET(ZonNummer,42,4,1,1)</f>
        <v>0</v>
      </c>
      <c r="Z285" s="77">
        <f ca="1">OFFSET(ZonNummer,42,5,1,1)</f>
        <v>0</v>
      </c>
      <c r="AA285" s="77">
        <f ca="1">OFFSET(ZonNummer,42,6,1,1)</f>
        <v>0</v>
      </c>
      <c r="AC285" s="75" t="str">
        <f ca="1">IF(OFFSET(ZonNummer,42,0,1,1)&lt;&gt;"",CONCATENATE(OFFSET(ZonNummer,42,0,1,1)," ",OFFSET(ZonNummer,42,1,1,1)),"")</f>
        <v/>
      </c>
      <c r="AD285" s="78">
        <f ca="1">OFFSET(ZonNummer,42,7,1,1)</f>
        <v>0</v>
      </c>
      <c r="AE285" s="78">
        <f ca="1">OFFSET(ZonNummer,42,8,1,1)</f>
        <v>0</v>
      </c>
      <c r="AG285" s="3">
        <v>19</v>
      </c>
      <c r="AH285" s="48">
        <f t="shared" ca="1" si="50"/>
        <v>0</v>
      </c>
      <c r="AI285" s="48">
        <f t="shared" ca="1" si="51"/>
        <v>0</v>
      </c>
      <c r="AJ285" s="48">
        <f t="shared" ca="1" si="52"/>
        <v>0</v>
      </c>
      <c r="AK285" s="48">
        <f t="shared" ca="1" si="53"/>
        <v>0</v>
      </c>
      <c r="AL285" s="48">
        <f t="shared" ca="1" si="54"/>
        <v>0</v>
      </c>
      <c r="AM285" s="48">
        <f t="shared" ca="1" si="55"/>
        <v>0</v>
      </c>
      <c r="AN285" s="48">
        <f t="shared" ca="1" si="56"/>
        <v>0</v>
      </c>
    </row>
    <row r="286" spans="20:40" x14ac:dyDescent="0.2">
      <c r="T286" s="75" t="str">
        <f t="shared" ca="1" si="48"/>
        <v/>
      </c>
      <c r="U286" s="76">
        <f t="shared" ca="1" si="49"/>
        <v>0</v>
      </c>
      <c r="X286" s="75" t="str">
        <f ca="1">IF(OFFSET(ZonNummer,43,0,1,1)&lt;&gt;"",CONCATENATE(OFFSET(ZonNummer,43,0,1,1)," ",OFFSET(ZonNummer,43,1,1,1)),"")</f>
        <v/>
      </c>
      <c r="Y286" s="77">
        <f ca="1">OFFSET(ZonNummer,43,4,1,1)</f>
        <v>0</v>
      </c>
      <c r="Z286" s="77">
        <f ca="1">OFFSET(ZonNummer,43,5,1,1)</f>
        <v>0</v>
      </c>
      <c r="AA286" s="77">
        <f ca="1">OFFSET(ZonNummer,43,6,1,1)</f>
        <v>0</v>
      </c>
      <c r="AC286" s="75" t="str">
        <f ca="1">IF(OFFSET(ZonNummer,43,0,1,1)&lt;&gt;"",CONCATENATE(OFFSET(ZonNummer,43,0,1,1)," ",OFFSET(ZonNummer,43,1,1,1)),"")</f>
        <v/>
      </c>
      <c r="AD286" s="78">
        <f ca="1">OFFSET(ZonNummer,43,7,1,1)</f>
        <v>0</v>
      </c>
      <c r="AE286" s="78">
        <f ca="1">OFFSET(ZonNummer,43,8,1,1)</f>
        <v>0</v>
      </c>
      <c r="AG286" s="3">
        <v>20</v>
      </c>
      <c r="AH286" s="48">
        <f t="shared" ca="1" si="50"/>
        <v>0</v>
      </c>
      <c r="AI286" s="48">
        <f t="shared" ca="1" si="51"/>
        <v>0</v>
      </c>
      <c r="AJ286" s="48">
        <f t="shared" ca="1" si="52"/>
        <v>0</v>
      </c>
      <c r="AK286" s="48">
        <f t="shared" ca="1" si="53"/>
        <v>0</v>
      </c>
      <c r="AL286" s="48">
        <f t="shared" ca="1" si="54"/>
        <v>0</v>
      </c>
      <c r="AM286" s="48">
        <f t="shared" ca="1" si="55"/>
        <v>0</v>
      </c>
      <c r="AN286" s="48">
        <f t="shared" ca="1" si="56"/>
        <v>0</v>
      </c>
    </row>
    <row r="287" spans="20:40" x14ac:dyDescent="0.2">
      <c r="T287" s="75" t="str">
        <f t="shared" ca="1" si="48"/>
        <v/>
      </c>
      <c r="U287" s="76">
        <f t="shared" ca="1" si="49"/>
        <v>0</v>
      </c>
      <c r="X287" s="75" t="str">
        <f ca="1">IF(OFFSET(ZonNummer,44,0,1,1)&lt;&gt;"",CONCATENATE(OFFSET(ZonNummer,44,0,1,1)," ",OFFSET(ZonNummer,44,1,1,1)),"")</f>
        <v/>
      </c>
      <c r="Y287" s="77">
        <f ca="1">OFFSET(ZonNummer,44,4,1,1)</f>
        <v>0</v>
      </c>
      <c r="Z287" s="77">
        <f ca="1">OFFSET(ZonNummer,44,5,1,1)</f>
        <v>0</v>
      </c>
      <c r="AA287" s="77">
        <f ca="1">OFFSET(ZonNummer,44,6,1,1)</f>
        <v>0</v>
      </c>
      <c r="AC287" s="75" t="str">
        <f ca="1">IF(OFFSET(ZonNummer,44,0,1,1)&lt;&gt;"",CONCATENATE(OFFSET(ZonNummer,44,0,1,1)," ",OFFSET(ZonNummer,44,1,1,1)),"")</f>
        <v/>
      </c>
      <c r="AD287" s="78">
        <f ca="1">OFFSET(ZonNummer,44,7,1,1)</f>
        <v>0</v>
      </c>
      <c r="AE287" s="78">
        <f ca="1">OFFSET(ZonNummer,44,8,1,1)</f>
        <v>0</v>
      </c>
      <c r="AG287" s="3">
        <v>21</v>
      </c>
      <c r="AH287" s="48">
        <f t="shared" ca="1" si="50"/>
        <v>0</v>
      </c>
      <c r="AI287" s="48">
        <f t="shared" ca="1" si="51"/>
        <v>0</v>
      </c>
      <c r="AJ287" s="48">
        <f t="shared" ca="1" si="52"/>
        <v>0</v>
      </c>
      <c r="AK287" s="48">
        <f t="shared" ca="1" si="53"/>
        <v>0</v>
      </c>
      <c r="AL287" s="48">
        <f t="shared" ca="1" si="54"/>
        <v>0</v>
      </c>
      <c r="AM287" s="48">
        <f t="shared" ca="1" si="55"/>
        <v>0</v>
      </c>
      <c r="AN287" s="48">
        <f t="shared" ca="1" si="56"/>
        <v>0</v>
      </c>
    </row>
    <row r="288" spans="20:40" x14ac:dyDescent="0.2">
      <c r="T288" s="75" t="str">
        <f t="shared" ca="1" si="48"/>
        <v/>
      </c>
      <c r="U288" s="76">
        <f t="shared" ca="1" si="49"/>
        <v>0</v>
      </c>
      <c r="X288" s="75" t="str">
        <f ca="1">IF(OFFSET(ZonNummer,45,0,1,1)&lt;&gt;"",CONCATENATE(OFFSET(ZonNummer,45,0,1,1)," ",OFFSET(ZonNummer,45,1,1,1)),"")</f>
        <v/>
      </c>
      <c r="Y288" s="77">
        <f ca="1">OFFSET(ZonNummer,45,4,1,1)</f>
        <v>0</v>
      </c>
      <c r="Z288" s="77">
        <f ca="1">OFFSET(ZonNummer,45,5,1,1)</f>
        <v>0</v>
      </c>
      <c r="AA288" s="77">
        <f ca="1">OFFSET(ZonNummer,45,6,1,1)</f>
        <v>0</v>
      </c>
      <c r="AC288" s="75" t="str">
        <f ca="1">IF(OFFSET(ZonNummer,45,0,1,1)&lt;&gt;"",CONCATENATE(OFFSET(ZonNummer,45,0,1,1)," ",OFFSET(ZonNummer,45,1,1,1)),"")</f>
        <v/>
      </c>
      <c r="AD288" s="78">
        <f ca="1">OFFSET(ZonNummer,45,7,1,1)</f>
        <v>0</v>
      </c>
      <c r="AE288" s="78">
        <f ca="1">OFFSET(ZonNummer,45,8,1,1)</f>
        <v>0</v>
      </c>
      <c r="AG288" s="3">
        <v>22</v>
      </c>
      <c r="AH288" s="48">
        <f t="shared" ca="1" si="50"/>
        <v>0</v>
      </c>
      <c r="AI288" s="48">
        <f t="shared" ca="1" si="51"/>
        <v>0</v>
      </c>
      <c r="AJ288" s="48">
        <f t="shared" ca="1" si="52"/>
        <v>0</v>
      </c>
      <c r="AK288" s="48">
        <f t="shared" ca="1" si="53"/>
        <v>0</v>
      </c>
      <c r="AL288" s="48">
        <f t="shared" ca="1" si="54"/>
        <v>0</v>
      </c>
      <c r="AM288" s="48">
        <f t="shared" ca="1" si="55"/>
        <v>0</v>
      </c>
      <c r="AN288" s="48">
        <f t="shared" ca="1" si="56"/>
        <v>0</v>
      </c>
    </row>
    <row r="289" spans="20:40" x14ac:dyDescent="0.2">
      <c r="T289" s="75" t="str">
        <f t="shared" ca="1" si="48"/>
        <v/>
      </c>
      <c r="U289" s="76">
        <f t="shared" ca="1" si="49"/>
        <v>0</v>
      </c>
      <c r="X289" s="75" t="str">
        <f ca="1">IF(OFFSET(ZonNummer,46,0,1,1)&lt;&gt;"",CONCATENATE(OFFSET(ZonNummer,46,0,1,1)," ",OFFSET(ZonNummer,46,1,1,1)),"")</f>
        <v/>
      </c>
      <c r="Y289" s="77">
        <f ca="1">OFFSET(ZonNummer,46,4,1,1)</f>
        <v>0</v>
      </c>
      <c r="Z289" s="77">
        <f ca="1">OFFSET(ZonNummer,46,5,1,1)</f>
        <v>0</v>
      </c>
      <c r="AA289" s="77">
        <f ca="1">OFFSET(ZonNummer,46,6,1,1)</f>
        <v>0</v>
      </c>
      <c r="AC289" s="75" t="str">
        <f ca="1">IF(OFFSET(ZonNummer,46,0,1,1)&lt;&gt;"",CONCATENATE(OFFSET(ZonNummer,46,0,1,1)," ",OFFSET(ZonNummer,46,1,1,1)),"")</f>
        <v/>
      </c>
      <c r="AD289" s="78">
        <f ca="1">OFFSET(ZonNummer,46,7,1,1)</f>
        <v>0</v>
      </c>
      <c r="AE289" s="78">
        <f ca="1">OFFSET(ZonNummer,46,8,1,1)</f>
        <v>0</v>
      </c>
      <c r="AG289" s="3">
        <v>23</v>
      </c>
      <c r="AH289" s="48">
        <f t="shared" ca="1" si="50"/>
        <v>0</v>
      </c>
      <c r="AI289" s="48">
        <f t="shared" ca="1" si="51"/>
        <v>0</v>
      </c>
      <c r="AJ289" s="48">
        <f t="shared" ca="1" si="52"/>
        <v>0</v>
      </c>
      <c r="AK289" s="48">
        <f t="shared" ca="1" si="53"/>
        <v>0</v>
      </c>
      <c r="AL289" s="48">
        <f t="shared" ca="1" si="54"/>
        <v>0</v>
      </c>
      <c r="AM289" s="48">
        <f t="shared" ca="1" si="55"/>
        <v>0</v>
      </c>
      <c r="AN289" s="48">
        <f t="shared" ca="1" si="56"/>
        <v>0</v>
      </c>
    </row>
    <row r="290" spans="20:40" x14ac:dyDescent="0.2">
      <c r="T290" s="75" t="str">
        <f t="shared" ca="1" si="48"/>
        <v/>
      </c>
      <c r="U290" s="76">
        <f t="shared" ca="1" si="49"/>
        <v>0</v>
      </c>
      <c r="X290" s="75" t="str">
        <f ca="1">IF(OFFSET(ZonNummer,47,0,1,1)&lt;&gt;"",CONCATENATE(OFFSET(ZonNummer,47,0,1,1)," ",OFFSET(ZonNummer,47,1,1,1)),"")</f>
        <v/>
      </c>
      <c r="Y290" s="77">
        <f ca="1">OFFSET(ZonNummer,47,4,1,1)</f>
        <v>0</v>
      </c>
      <c r="Z290" s="77">
        <f ca="1">OFFSET(ZonNummer,47,5,1,1)</f>
        <v>0</v>
      </c>
      <c r="AA290" s="77">
        <f ca="1">OFFSET(ZonNummer,47,6,1,1)</f>
        <v>0</v>
      </c>
      <c r="AC290" s="75" t="str">
        <f ca="1">IF(OFFSET(ZonNummer,47,0,1,1)&lt;&gt;"",CONCATENATE(OFFSET(ZonNummer,47,0,1,1)," ",OFFSET(ZonNummer,47,1,1,1)),"")</f>
        <v/>
      </c>
      <c r="AD290" s="78">
        <f ca="1">OFFSET(ZonNummer,47,7,1,1)</f>
        <v>0</v>
      </c>
      <c r="AE290" s="78">
        <f ca="1">OFFSET(ZonNummer,47,8,1,1)</f>
        <v>0</v>
      </c>
      <c r="AG290" s="3">
        <v>24</v>
      </c>
      <c r="AH290" s="48">
        <f t="shared" ca="1" si="50"/>
        <v>0</v>
      </c>
      <c r="AI290" s="48">
        <f t="shared" ca="1" si="51"/>
        <v>0</v>
      </c>
      <c r="AJ290" s="48">
        <f t="shared" ca="1" si="52"/>
        <v>0</v>
      </c>
      <c r="AK290" s="48">
        <f t="shared" ca="1" si="53"/>
        <v>0</v>
      </c>
      <c r="AL290" s="48">
        <f t="shared" ca="1" si="54"/>
        <v>0</v>
      </c>
      <c r="AM290" s="48">
        <f t="shared" ca="1" si="55"/>
        <v>0</v>
      </c>
      <c r="AN290" s="48">
        <f t="shared" ca="1" si="56"/>
        <v>0</v>
      </c>
    </row>
    <row r="291" spans="20:40" x14ac:dyDescent="0.2">
      <c r="T291" s="75" t="str">
        <f t="shared" ca="1" si="48"/>
        <v/>
      </c>
      <c r="U291" s="76">
        <f t="shared" ca="1" si="49"/>
        <v>0</v>
      </c>
      <c r="X291" s="75" t="str">
        <f ca="1">IF(OFFSET(ZonNummer,48,0,1,1)&lt;&gt;"",CONCATENATE(OFFSET(ZonNummer,48,0,1,1)," ",OFFSET(ZonNummer,48,1,1,1)),"")</f>
        <v/>
      </c>
      <c r="Y291" s="77">
        <f ca="1">OFFSET(ZonNummer,48,4,1,1)</f>
        <v>0</v>
      </c>
      <c r="Z291" s="77">
        <f ca="1">OFFSET(ZonNummer,48,5,1,1)</f>
        <v>0</v>
      </c>
      <c r="AA291" s="77">
        <f ca="1">OFFSET(ZonNummer,48,6,1,1)</f>
        <v>0</v>
      </c>
      <c r="AC291" s="75" t="str">
        <f ca="1">IF(OFFSET(ZonNummer,48,0,1,1)&lt;&gt;"",CONCATENATE(OFFSET(ZonNummer,48,0,1,1)," ",OFFSET(ZonNummer,48,1,1,1)),"")</f>
        <v/>
      </c>
      <c r="AD291" s="78">
        <f ca="1">OFFSET(ZonNummer,48,7,1,1)</f>
        <v>0</v>
      </c>
      <c r="AE291" s="78">
        <f ca="1">OFFSET(ZonNummer,48,8,1,1)</f>
        <v>0</v>
      </c>
      <c r="AG291" s="3">
        <v>25</v>
      </c>
      <c r="AH291" s="48">
        <f t="shared" ca="1" si="50"/>
        <v>0</v>
      </c>
      <c r="AI291" s="48">
        <f t="shared" ca="1" si="51"/>
        <v>0</v>
      </c>
      <c r="AJ291" s="48">
        <f t="shared" ca="1" si="52"/>
        <v>0</v>
      </c>
      <c r="AK291" s="48">
        <f t="shared" ca="1" si="53"/>
        <v>0</v>
      </c>
      <c r="AL291" s="48">
        <f t="shared" ca="1" si="54"/>
        <v>0</v>
      </c>
      <c r="AM291" s="48">
        <f t="shared" ca="1" si="55"/>
        <v>0</v>
      </c>
      <c r="AN291" s="48">
        <f t="shared" ca="1" si="56"/>
        <v>0</v>
      </c>
    </row>
    <row r="292" spans="20:40" x14ac:dyDescent="0.2">
      <c r="T292" s="75" t="str">
        <f t="shared" ca="1" si="48"/>
        <v/>
      </c>
      <c r="U292" s="76">
        <f t="shared" ca="1" si="49"/>
        <v>0</v>
      </c>
      <c r="X292" s="75" t="str">
        <f ca="1">IF(OFFSET(ZonNummer,49,0,1,1)&lt;&gt;"",CONCATENATE(OFFSET(ZonNummer,49,0,1,1)," ",OFFSET(ZonNummer,49,1,1,1)),"")</f>
        <v/>
      </c>
      <c r="Y292" s="77">
        <f ca="1">OFFSET(ZonNummer,49,4,1,1)</f>
        <v>0</v>
      </c>
      <c r="Z292" s="77">
        <f ca="1">OFFSET(ZonNummer,49,5,1,1)</f>
        <v>0</v>
      </c>
      <c r="AA292" s="77">
        <f ca="1">OFFSET(ZonNummer,49,6,1,1)</f>
        <v>0</v>
      </c>
      <c r="AC292" s="75" t="str">
        <f ca="1">IF(OFFSET(ZonNummer,49,0,1,1)&lt;&gt;"",CONCATENATE(OFFSET(ZonNummer,49,0,1,1)," ",OFFSET(ZonNummer,49,1,1,1)),"")</f>
        <v/>
      </c>
      <c r="AD292" s="78">
        <f ca="1">OFFSET(ZonNummer,49,7,1,1)</f>
        <v>0</v>
      </c>
      <c r="AE292" s="78">
        <f ca="1">OFFSET(ZonNummer,49,8,1,1)</f>
        <v>0</v>
      </c>
      <c r="AG292" s="3">
        <v>26</v>
      </c>
      <c r="AH292" s="48">
        <f t="shared" ca="1" si="50"/>
        <v>0</v>
      </c>
      <c r="AI292" s="48">
        <f t="shared" ca="1" si="51"/>
        <v>0</v>
      </c>
      <c r="AJ292" s="48">
        <f t="shared" ca="1" si="52"/>
        <v>0</v>
      </c>
      <c r="AK292" s="48">
        <f t="shared" ca="1" si="53"/>
        <v>0</v>
      </c>
      <c r="AL292" s="48">
        <f t="shared" ca="1" si="54"/>
        <v>0</v>
      </c>
      <c r="AM292" s="48">
        <f t="shared" ca="1" si="55"/>
        <v>0</v>
      </c>
      <c r="AN292" s="48">
        <f t="shared" ca="1" si="56"/>
        <v>0</v>
      </c>
    </row>
    <row r="293" spans="20:40" x14ac:dyDescent="0.2">
      <c r="T293" s="75" t="str">
        <f t="shared" ca="1" si="48"/>
        <v/>
      </c>
      <c r="U293" s="76">
        <f t="shared" ca="1" si="49"/>
        <v>0</v>
      </c>
      <c r="X293" s="75" t="str">
        <f ca="1">IF(OFFSET(ZonNummer,50,0,1,1)&lt;&gt;"",CONCATENATE(OFFSET(ZonNummer,50,0,1,1)," ",OFFSET(ZonNummer,50,1,1,1)),"")</f>
        <v/>
      </c>
      <c r="Y293" s="77">
        <f ca="1">OFFSET(ZonNummer,50,4,1,1)</f>
        <v>0</v>
      </c>
      <c r="Z293" s="77">
        <f ca="1">OFFSET(ZonNummer,50,5,1,1)</f>
        <v>0</v>
      </c>
      <c r="AA293" s="77">
        <f ca="1">OFFSET(ZonNummer,50,6,1,1)</f>
        <v>0</v>
      </c>
      <c r="AC293" s="75" t="str">
        <f ca="1">IF(OFFSET(ZonNummer,50,0,1,1)&lt;&gt;"",CONCATENATE(OFFSET(ZonNummer,50,0,1,1)," ",OFFSET(ZonNummer,50,1,1,1)),"")</f>
        <v/>
      </c>
      <c r="AD293" s="78">
        <f ca="1">OFFSET(ZonNummer,50,7,1,1)</f>
        <v>0</v>
      </c>
      <c r="AE293" s="78">
        <f ca="1">OFFSET(ZonNummer,50,8,1,1)</f>
        <v>0</v>
      </c>
      <c r="AG293" s="3">
        <v>27</v>
      </c>
      <c r="AH293" s="48">
        <f t="shared" ca="1" si="50"/>
        <v>0</v>
      </c>
      <c r="AI293" s="48">
        <f t="shared" ca="1" si="51"/>
        <v>0</v>
      </c>
      <c r="AJ293" s="48">
        <f t="shared" ca="1" si="52"/>
        <v>0</v>
      </c>
      <c r="AK293" s="48">
        <f t="shared" ca="1" si="53"/>
        <v>0</v>
      </c>
      <c r="AL293" s="48">
        <f t="shared" ca="1" si="54"/>
        <v>0</v>
      </c>
      <c r="AM293" s="48">
        <f t="shared" ca="1" si="55"/>
        <v>0</v>
      </c>
      <c r="AN293" s="48">
        <f t="shared" ca="1" si="56"/>
        <v>0</v>
      </c>
    </row>
    <row r="294" spans="20:40" x14ac:dyDescent="0.2">
      <c r="AG294" s="3">
        <v>28</v>
      </c>
      <c r="AH294" s="48">
        <f t="shared" ca="1" si="50"/>
        <v>0</v>
      </c>
      <c r="AI294" s="48">
        <f t="shared" ca="1" si="51"/>
        <v>0</v>
      </c>
      <c r="AJ294" s="48">
        <f t="shared" ca="1" si="52"/>
        <v>0</v>
      </c>
      <c r="AK294" s="48">
        <f t="shared" ca="1" si="53"/>
        <v>0</v>
      </c>
      <c r="AL294" s="48">
        <f t="shared" ca="1" si="54"/>
        <v>0</v>
      </c>
      <c r="AM294" s="48">
        <f t="shared" ca="1" si="55"/>
        <v>0</v>
      </c>
      <c r="AN294" s="48">
        <f t="shared" ca="1" si="56"/>
        <v>0</v>
      </c>
    </row>
    <row r="295" spans="20:40" x14ac:dyDescent="0.2">
      <c r="AG295" s="3">
        <v>29</v>
      </c>
      <c r="AH295" s="48">
        <f t="shared" ca="1" si="50"/>
        <v>0</v>
      </c>
      <c r="AI295" s="48">
        <f t="shared" ca="1" si="51"/>
        <v>0</v>
      </c>
      <c r="AJ295" s="48">
        <f t="shared" ca="1" si="52"/>
        <v>0</v>
      </c>
      <c r="AK295" s="48">
        <f t="shared" ca="1" si="53"/>
        <v>0</v>
      </c>
      <c r="AL295" s="48">
        <f t="shared" ca="1" si="54"/>
        <v>0</v>
      </c>
      <c r="AM295" s="48">
        <f t="shared" ca="1" si="55"/>
        <v>0</v>
      </c>
      <c r="AN295" s="48">
        <f t="shared" ca="1" si="56"/>
        <v>0</v>
      </c>
    </row>
    <row r="296" spans="20:40" x14ac:dyDescent="0.2">
      <c r="AG296" s="3">
        <v>30</v>
      </c>
      <c r="AH296" s="48">
        <f t="shared" ca="1" si="50"/>
        <v>0</v>
      </c>
      <c r="AI296" s="48">
        <f t="shared" ca="1" si="51"/>
        <v>0</v>
      </c>
      <c r="AJ296" s="48">
        <f t="shared" ca="1" si="52"/>
        <v>0</v>
      </c>
      <c r="AK296" s="48">
        <f t="shared" ca="1" si="53"/>
        <v>0</v>
      </c>
      <c r="AL296" s="48">
        <f t="shared" ca="1" si="54"/>
        <v>0</v>
      </c>
      <c r="AM296" s="48">
        <f t="shared" ca="1" si="55"/>
        <v>0</v>
      </c>
      <c r="AN296" s="48">
        <f t="shared" ca="1" si="56"/>
        <v>0</v>
      </c>
    </row>
    <row r="297" spans="20:40" x14ac:dyDescent="0.2">
      <c r="AG297" s="3">
        <v>31</v>
      </c>
      <c r="AH297" s="48">
        <f t="shared" ca="1" si="50"/>
        <v>0</v>
      </c>
      <c r="AI297" s="48">
        <f t="shared" ca="1" si="51"/>
        <v>0</v>
      </c>
      <c r="AJ297" s="48">
        <f t="shared" ca="1" si="52"/>
        <v>0</v>
      </c>
      <c r="AK297" s="48">
        <f t="shared" ca="1" si="53"/>
        <v>0</v>
      </c>
      <c r="AL297" s="48">
        <f t="shared" ca="1" si="54"/>
        <v>0</v>
      </c>
      <c r="AM297" s="48">
        <f t="shared" ca="1" si="55"/>
        <v>0</v>
      </c>
      <c r="AN297" s="48">
        <f t="shared" ca="1" si="56"/>
        <v>0</v>
      </c>
    </row>
    <row r="298" spans="20:40" x14ac:dyDescent="0.2">
      <c r="AG298" s="3">
        <v>32</v>
      </c>
      <c r="AH298" s="48">
        <f t="shared" ca="1" si="50"/>
        <v>0</v>
      </c>
      <c r="AI298" s="48">
        <f t="shared" ca="1" si="51"/>
        <v>0</v>
      </c>
      <c r="AJ298" s="48">
        <f t="shared" ca="1" si="52"/>
        <v>0</v>
      </c>
      <c r="AK298" s="48">
        <f t="shared" ca="1" si="53"/>
        <v>0</v>
      </c>
      <c r="AL298" s="48">
        <f t="shared" ca="1" si="54"/>
        <v>0</v>
      </c>
      <c r="AM298" s="48">
        <f t="shared" ca="1" si="55"/>
        <v>0</v>
      </c>
      <c r="AN298" s="48">
        <f t="shared" ca="1" si="56"/>
        <v>0</v>
      </c>
    </row>
    <row r="299" spans="20:40" x14ac:dyDescent="0.2">
      <c r="AG299" s="3">
        <v>33</v>
      </c>
      <c r="AH299" s="48">
        <f t="shared" ref="AH299:AH330" ca="1" si="57">IF(OFFSET(BTCODE_B,AG299-1,0)&lt;&gt;0,CONCATENATE(OFFSET(BTCODE_B,AG299-1,0)," ",OFFSET(BTCODE_B,AG299-1,1)),0)</f>
        <v>0</v>
      </c>
      <c r="AI299" s="48">
        <f t="shared" ref="AI299:AI330" ca="1" si="58">OFFSET(BTCODE_B,AG299-1,2)</f>
        <v>0</v>
      </c>
      <c r="AJ299" s="48">
        <f t="shared" ref="AJ299:AJ330" ca="1" si="59">OFFSET(BTCODE_B,AG299-1,3)</f>
        <v>0</v>
      </c>
      <c r="AK299" s="48">
        <f t="shared" ref="AK299:AK330" ca="1" si="60">OFFSET(BTCODE_B,AG299-1,4)</f>
        <v>0</v>
      </c>
      <c r="AL299" s="48">
        <f t="shared" ref="AL299:AL330" ca="1" si="61">OFFSET(BTCODE_B,AG299-1,5)</f>
        <v>0</v>
      </c>
      <c r="AM299" s="48">
        <f t="shared" ref="AM299:AM330" ca="1" si="62">OFFSET(BTCODE_B,AG299-1,6)</f>
        <v>0</v>
      </c>
      <c r="AN299" s="48">
        <f t="shared" ref="AN299:AN330" ca="1" si="63">OFFSET(BTCODE_B,AG299-1,7)</f>
        <v>0</v>
      </c>
    </row>
    <row r="300" spans="20:40" x14ac:dyDescent="0.2">
      <c r="AG300" s="3">
        <v>34</v>
      </c>
      <c r="AH300" s="48">
        <f t="shared" ca="1" si="57"/>
        <v>0</v>
      </c>
      <c r="AI300" s="48">
        <f t="shared" ca="1" si="58"/>
        <v>0</v>
      </c>
      <c r="AJ300" s="48">
        <f t="shared" ca="1" si="59"/>
        <v>0</v>
      </c>
      <c r="AK300" s="48">
        <f t="shared" ca="1" si="60"/>
        <v>0</v>
      </c>
      <c r="AL300" s="48">
        <f t="shared" ca="1" si="61"/>
        <v>0</v>
      </c>
      <c r="AM300" s="48">
        <f t="shared" ca="1" si="62"/>
        <v>0</v>
      </c>
      <c r="AN300" s="48">
        <f t="shared" ca="1" si="63"/>
        <v>0</v>
      </c>
    </row>
    <row r="301" spans="20:40" x14ac:dyDescent="0.2">
      <c r="AG301" s="3">
        <v>35</v>
      </c>
      <c r="AH301" s="48">
        <f t="shared" ca="1" si="57"/>
        <v>0</v>
      </c>
      <c r="AI301" s="48">
        <f t="shared" ca="1" si="58"/>
        <v>0</v>
      </c>
      <c r="AJ301" s="48">
        <f t="shared" ca="1" si="59"/>
        <v>0</v>
      </c>
      <c r="AK301" s="48">
        <f t="shared" ca="1" si="60"/>
        <v>0</v>
      </c>
      <c r="AL301" s="48">
        <f t="shared" ca="1" si="61"/>
        <v>0</v>
      </c>
      <c r="AM301" s="48">
        <f t="shared" ca="1" si="62"/>
        <v>0</v>
      </c>
      <c r="AN301" s="48">
        <f t="shared" ca="1" si="63"/>
        <v>0</v>
      </c>
    </row>
    <row r="302" spans="20:40" x14ac:dyDescent="0.2">
      <c r="AG302" s="3">
        <v>36</v>
      </c>
      <c r="AH302" s="48">
        <f t="shared" ca="1" si="57"/>
        <v>0</v>
      </c>
      <c r="AI302" s="48">
        <f t="shared" ca="1" si="58"/>
        <v>0</v>
      </c>
      <c r="AJ302" s="48">
        <f t="shared" ca="1" si="59"/>
        <v>0</v>
      </c>
      <c r="AK302" s="48">
        <f t="shared" ca="1" si="60"/>
        <v>0</v>
      </c>
      <c r="AL302" s="48">
        <f t="shared" ca="1" si="61"/>
        <v>0</v>
      </c>
      <c r="AM302" s="48">
        <f t="shared" ca="1" si="62"/>
        <v>0</v>
      </c>
      <c r="AN302" s="48">
        <f t="shared" ca="1" si="63"/>
        <v>0</v>
      </c>
    </row>
    <row r="303" spans="20:40" x14ac:dyDescent="0.2">
      <c r="AG303" s="3">
        <v>37</v>
      </c>
      <c r="AH303" s="48">
        <f t="shared" ca="1" si="57"/>
        <v>0</v>
      </c>
      <c r="AI303" s="48">
        <f t="shared" ca="1" si="58"/>
        <v>0</v>
      </c>
      <c r="AJ303" s="48">
        <f t="shared" ca="1" si="59"/>
        <v>0</v>
      </c>
      <c r="AK303" s="48">
        <f t="shared" ca="1" si="60"/>
        <v>0</v>
      </c>
      <c r="AL303" s="48">
        <f t="shared" ca="1" si="61"/>
        <v>0</v>
      </c>
      <c r="AM303" s="48">
        <f t="shared" ca="1" si="62"/>
        <v>0</v>
      </c>
      <c r="AN303" s="48">
        <f t="shared" ca="1" si="63"/>
        <v>0</v>
      </c>
    </row>
    <row r="304" spans="20:40" x14ac:dyDescent="0.2">
      <c r="AG304" s="3">
        <v>38</v>
      </c>
      <c r="AH304" s="48">
        <f t="shared" ca="1" si="57"/>
        <v>0</v>
      </c>
      <c r="AI304" s="48">
        <f t="shared" ca="1" si="58"/>
        <v>0</v>
      </c>
      <c r="AJ304" s="48">
        <f t="shared" ca="1" si="59"/>
        <v>0</v>
      </c>
      <c r="AK304" s="48">
        <f t="shared" ca="1" si="60"/>
        <v>0</v>
      </c>
      <c r="AL304" s="48">
        <f t="shared" ca="1" si="61"/>
        <v>0</v>
      </c>
      <c r="AM304" s="48">
        <f t="shared" ca="1" si="62"/>
        <v>0</v>
      </c>
      <c r="AN304" s="48">
        <f t="shared" ca="1" si="63"/>
        <v>0</v>
      </c>
    </row>
    <row r="305" spans="33:40" x14ac:dyDescent="0.2">
      <c r="AG305" s="3">
        <v>39</v>
      </c>
      <c r="AH305" s="48">
        <f t="shared" ca="1" si="57"/>
        <v>0</v>
      </c>
      <c r="AI305" s="48">
        <f t="shared" ca="1" si="58"/>
        <v>0</v>
      </c>
      <c r="AJ305" s="48">
        <f t="shared" ca="1" si="59"/>
        <v>0</v>
      </c>
      <c r="AK305" s="48">
        <f t="shared" ca="1" si="60"/>
        <v>0</v>
      </c>
      <c r="AL305" s="48">
        <f t="shared" ca="1" si="61"/>
        <v>0</v>
      </c>
      <c r="AM305" s="48">
        <f t="shared" ca="1" si="62"/>
        <v>0</v>
      </c>
      <c r="AN305" s="48">
        <f t="shared" ca="1" si="63"/>
        <v>0</v>
      </c>
    </row>
    <row r="306" spans="33:40" x14ac:dyDescent="0.2">
      <c r="AG306" s="3">
        <v>40</v>
      </c>
      <c r="AH306" s="48">
        <f t="shared" ca="1" si="57"/>
        <v>0</v>
      </c>
      <c r="AI306" s="48">
        <f t="shared" ca="1" si="58"/>
        <v>0</v>
      </c>
      <c r="AJ306" s="48">
        <f t="shared" ca="1" si="59"/>
        <v>0</v>
      </c>
      <c r="AK306" s="48">
        <f t="shared" ca="1" si="60"/>
        <v>0</v>
      </c>
      <c r="AL306" s="48">
        <f t="shared" ca="1" si="61"/>
        <v>0</v>
      </c>
      <c r="AM306" s="48">
        <f t="shared" ca="1" si="62"/>
        <v>0</v>
      </c>
      <c r="AN306" s="48">
        <f t="shared" ca="1" si="63"/>
        <v>0</v>
      </c>
    </row>
    <row r="307" spans="33:40" x14ac:dyDescent="0.2">
      <c r="AG307" s="3">
        <v>41</v>
      </c>
      <c r="AH307" s="48">
        <f t="shared" ca="1" si="57"/>
        <v>0</v>
      </c>
      <c r="AI307" s="48">
        <f t="shared" ca="1" si="58"/>
        <v>0</v>
      </c>
      <c r="AJ307" s="48">
        <f t="shared" ca="1" si="59"/>
        <v>0</v>
      </c>
      <c r="AK307" s="48">
        <f t="shared" ca="1" si="60"/>
        <v>0</v>
      </c>
      <c r="AL307" s="48">
        <f t="shared" ca="1" si="61"/>
        <v>0</v>
      </c>
      <c r="AM307" s="48">
        <f t="shared" ca="1" si="62"/>
        <v>0</v>
      </c>
      <c r="AN307" s="48">
        <f t="shared" ca="1" si="63"/>
        <v>0</v>
      </c>
    </row>
    <row r="308" spans="33:40" x14ac:dyDescent="0.2">
      <c r="AG308" s="3">
        <v>42</v>
      </c>
      <c r="AH308" s="48">
        <f t="shared" ca="1" si="57"/>
        <v>0</v>
      </c>
      <c r="AI308" s="48">
        <f t="shared" ca="1" si="58"/>
        <v>0</v>
      </c>
      <c r="AJ308" s="48">
        <f t="shared" ca="1" si="59"/>
        <v>0</v>
      </c>
      <c r="AK308" s="48">
        <f t="shared" ca="1" si="60"/>
        <v>0</v>
      </c>
      <c r="AL308" s="48">
        <f t="shared" ca="1" si="61"/>
        <v>0</v>
      </c>
      <c r="AM308" s="48">
        <f t="shared" ca="1" si="62"/>
        <v>0</v>
      </c>
      <c r="AN308" s="48">
        <f t="shared" ca="1" si="63"/>
        <v>0</v>
      </c>
    </row>
    <row r="309" spans="33:40" x14ac:dyDescent="0.2">
      <c r="AG309" s="3">
        <v>43</v>
      </c>
      <c r="AH309" s="48">
        <f t="shared" ca="1" si="57"/>
        <v>0</v>
      </c>
      <c r="AI309" s="48">
        <f t="shared" ca="1" si="58"/>
        <v>0</v>
      </c>
      <c r="AJ309" s="48">
        <f t="shared" ca="1" si="59"/>
        <v>0</v>
      </c>
      <c r="AK309" s="48">
        <f t="shared" ca="1" si="60"/>
        <v>0</v>
      </c>
      <c r="AL309" s="48">
        <f t="shared" ca="1" si="61"/>
        <v>0</v>
      </c>
      <c r="AM309" s="48">
        <f t="shared" ca="1" si="62"/>
        <v>0</v>
      </c>
      <c r="AN309" s="48">
        <f t="shared" ca="1" si="63"/>
        <v>0</v>
      </c>
    </row>
    <row r="310" spans="33:40" x14ac:dyDescent="0.2">
      <c r="AG310" s="3">
        <v>44</v>
      </c>
      <c r="AH310" s="48">
        <f t="shared" ca="1" si="57"/>
        <v>0</v>
      </c>
      <c r="AI310" s="48">
        <f t="shared" ca="1" si="58"/>
        <v>0</v>
      </c>
      <c r="AJ310" s="48">
        <f t="shared" ca="1" si="59"/>
        <v>0</v>
      </c>
      <c r="AK310" s="48">
        <f t="shared" ca="1" si="60"/>
        <v>0</v>
      </c>
      <c r="AL310" s="48">
        <f t="shared" ca="1" si="61"/>
        <v>0</v>
      </c>
      <c r="AM310" s="48">
        <f t="shared" ca="1" si="62"/>
        <v>0</v>
      </c>
      <c r="AN310" s="48">
        <f t="shared" ca="1" si="63"/>
        <v>0</v>
      </c>
    </row>
    <row r="311" spans="33:40" x14ac:dyDescent="0.2">
      <c r="AG311" s="3">
        <v>45</v>
      </c>
      <c r="AH311" s="48">
        <f t="shared" ca="1" si="57"/>
        <v>0</v>
      </c>
      <c r="AI311" s="48">
        <f t="shared" ca="1" si="58"/>
        <v>0</v>
      </c>
      <c r="AJ311" s="48">
        <f t="shared" ca="1" si="59"/>
        <v>0</v>
      </c>
      <c r="AK311" s="48">
        <f t="shared" ca="1" si="60"/>
        <v>0</v>
      </c>
      <c r="AL311" s="48">
        <f t="shared" ca="1" si="61"/>
        <v>0</v>
      </c>
      <c r="AM311" s="48">
        <f t="shared" ca="1" si="62"/>
        <v>0</v>
      </c>
      <c r="AN311" s="48">
        <f t="shared" ca="1" si="63"/>
        <v>0</v>
      </c>
    </row>
    <row r="312" spans="33:40" x14ac:dyDescent="0.2">
      <c r="AG312" s="3">
        <v>46</v>
      </c>
      <c r="AH312" s="48">
        <f t="shared" ca="1" si="57"/>
        <v>0</v>
      </c>
      <c r="AI312" s="48">
        <f t="shared" ca="1" si="58"/>
        <v>0</v>
      </c>
      <c r="AJ312" s="48">
        <f t="shared" ca="1" si="59"/>
        <v>0</v>
      </c>
      <c r="AK312" s="48">
        <f t="shared" ca="1" si="60"/>
        <v>0</v>
      </c>
      <c r="AL312" s="48">
        <f t="shared" ca="1" si="61"/>
        <v>0</v>
      </c>
      <c r="AM312" s="48">
        <f t="shared" ca="1" si="62"/>
        <v>0</v>
      </c>
      <c r="AN312" s="48">
        <f t="shared" ca="1" si="63"/>
        <v>0</v>
      </c>
    </row>
    <row r="313" spans="33:40" x14ac:dyDescent="0.2">
      <c r="AG313" s="3">
        <v>47</v>
      </c>
      <c r="AH313" s="48">
        <f t="shared" ca="1" si="57"/>
        <v>0</v>
      </c>
      <c r="AI313" s="48">
        <f t="shared" ca="1" si="58"/>
        <v>0</v>
      </c>
      <c r="AJ313" s="48">
        <f t="shared" ca="1" si="59"/>
        <v>0</v>
      </c>
      <c r="AK313" s="48">
        <f t="shared" ca="1" si="60"/>
        <v>0</v>
      </c>
      <c r="AL313" s="48">
        <f t="shared" ca="1" si="61"/>
        <v>0</v>
      </c>
      <c r="AM313" s="48">
        <f t="shared" ca="1" si="62"/>
        <v>0</v>
      </c>
      <c r="AN313" s="48">
        <f t="shared" ca="1" si="63"/>
        <v>0</v>
      </c>
    </row>
    <row r="314" spans="33:40" x14ac:dyDescent="0.2">
      <c r="AG314" s="3">
        <v>48</v>
      </c>
      <c r="AH314" s="48">
        <f t="shared" ca="1" si="57"/>
        <v>0</v>
      </c>
      <c r="AI314" s="48">
        <f t="shared" ca="1" si="58"/>
        <v>0</v>
      </c>
      <c r="AJ314" s="48">
        <f t="shared" ca="1" si="59"/>
        <v>0</v>
      </c>
      <c r="AK314" s="48">
        <f t="shared" ca="1" si="60"/>
        <v>0</v>
      </c>
      <c r="AL314" s="48">
        <f t="shared" ca="1" si="61"/>
        <v>0</v>
      </c>
      <c r="AM314" s="48">
        <f t="shared" ca="1" si="62"/>
        <v>0</v>
      </c>
      <c r="AN314" s="48">
        <f t="shared" ca="1" si="63"/>
        <v>0</v>
      </c>
    </row>
    <row r="315" spans="33:40" x14ac:dyDescent="0.2">
      <c r="AG315" s="3">
        <v>49</v>
      </c>
      <c r="AH315" s="48">
        <f t="shared" ca="1" si="57"/>
        <v>0</v>
      </c>
      <c r="AI315" s="48">
        <f t="shared" ca="1" si="58"/>
        <v>0</v>
      </c>
      <c r="AJ315" s="48">
        <f t="shared" ca="1" si="59"/>
        <v>0</v>
      </c>
      <c r="AK315" s="48">
        <f t="shared" ca="1" si="60"/>
        <v>0</v>
      </c>
      <c r="AL315" s="48">
        <f t="shared" ca="1" si="61"/>
        <v>0</v>
      </c>
      <c r="AM315" s="48">
        <f t="shared" ca="1" si="62"/>
        <v>0</v>
      </c>
      <c r="AN315" s="48">
        <f t="shared" ca="1" si="63"/>
        <v>0</v>
      </c>
    </row>
    <row r="316" spans="33:40" x14ac:dyDescent="0.2">
      <c r="AG316" s="3">
        <v>50</v>
      </c>
      <c r="AH316" s="48">
        <f t="shared" ca="1" si="57"/>
        <v>0</v>
      </c>
      <c r="AI316" s="48">
        <f t="shared" ca="1" si="58"/>
        <v>0</v>
      </c>
      <c r="AJ316" s="48">
        <f t="shared" ca="1" si="59"/>
        <v>0</v>
      </c>
      <c r="AK316" s="48">
        <f t="shared" ca="1" si="60"/>
        <v>0</v>
      </c>
      <c r="AL316" s="48">
        <f t="shared" ca="1" si="61"/>
        <v>0</v>
      </c>
      <c r="AM316" s="48">
        <f t="shared" ca="1" si="62"/>
        <v>0</v>
      </c>
      <c r="AN316" s="48">
        <f t="shared" ca="1" si="63"/>
        <v>0</v>
      </c>
    </row>
    <row r="317" spans="33:40" x14ac:dyDescent="0.2">
      <c r="AG317" s="3">
        <v>51</v>
      </c>
      <c r="AH317" s="48">
        <f t="shared" ca="1" si="57"/>
        <v>0</v>
      </c>
      <c r="AI317" s="48">
        <f t="shared" ca="1" si="58"/>
        <v>0</v>
      </c>
      <c r="AJ317" s="48">
        <f t="shared" ca="1" si="59"/>
        <v>0</v>
      </c>
      <c r="AK317" s="48">
        <f t="shared" ca="1" si="60"/>
        <v>0</v>
      </c>
      <c r="AL317" s="48">
        <f t="shared" ca="1" si="61"/>
        <v>0</v>
      </c>
      <c r="AM317" s="48">
        <f t="shared" ca="1" si="62"/>
        <v>0</v>
      </c>
      <c r="AN317" s="48">
        <f t="shared" ca="1" si="63"/>
        <v>0</v>
      </c>
    </row>
    <row r="318" spans="33:40" x14ac:dyDescent="0.2">
      <c r="AG318" s="3">
        <v>52</v>
      </c>
      <c r="AH318" s="48">
        <f t="shared" ca="1" si="57"/>
        <v>0</v>
      </c>
      <c r="AI318" s="48">
        <f t="shared" ca="1" si="58"/>
        <v>0</v>
      </c>
      <c r="AJ318" s="48">
        <f t="shared" ca="1" si="59"/>
        <v>0</v>
      </c>
      <c r="AK318" s="48">
        <f t="shared" ca="1" si="60"/>
        <v>0</v>
      </c>
      <c r="AL318" s="48">
        <f t="shared" ca="1" si="61"/>
        <v>0</v>
      </c>
      <c r="AM318" s="48">
        <f t="shared" ca="1" si="62"/>
        <v>0</v>
      </c>
      <c r="AN318" s="48">
        <f t="shared" ca="1" si="63"/>
        <v>0</v>
      </c>
    </row>
    <row r="319" spans="33:40" x14ac:dyDescent="0.2">
      <c r="AG319" s="3">
        <v>53</v>
      </c>
      <c r="AH319" s="48">
        <f t="shared" ca="1" si="57"/>
        <v>0</v>
      </c>
      <c r="AI319" s="48">
        <f t="shared" ca="1" si="58"/>
        <v>0</v>
      </c>
      <c r="AJ319" s="48">
        <f t="shared" ca="1" si="59"/>
        <v>0</v>
      </c>
      <c r="AK319" s="48">
        <f t="shared" ca="1" si="60"/>
        <v>0</v>
      </c>
      <c r="AL319" s="48">
        <f t="shared" ca="1" si="61"/>
        <v>0</v>
      </c>
      <c r="AM319" s="48">
        <f t="shared" ca="1" si="62"/>
        <v>0</v>
      </c>
      <c r="AN319" s="48">
        <f t="shared" ca="1" si="63"/>
        <v>0</v>
      </c>
    </row>
    <row r="320" spans="33:40" x14ac:dyDescent="0.2">
      <c r="AG320" s="3">
        <v>54</v>
      </c>
      <c r="AH320" s="48">
        <f t="shared" ca="1" si="57"/>
        <v>0</v>
      </c>
      <c r="AI320" s="48">
        <f t="shared" ca="1" si="58"/>
        <v>0</v>
      </c>
      <c r="AJ320" s="48">
        <f t="shared" ca="1" si="59"/>
        <v>0</v>
      </c>
      <c r="AK320" s="48">
        <f t="shared" ca="1" si="60"/>
        <v>0</v>
      </c>
      <c r="AL320" s="48">
        <f t="shared" ca="1" si="61"/>
        <v>0</v>
      </c>
      <c r="AM320" s="48">
        <f t="shared" ca="1" si="62"/>
        <v>0</v>
      </c>
      <c r="AN320" s="48">
        <f t="shared" ca="1" si="63"/>
        <v>0</v>
      </c>
    </row>
    <row r="321" spans="33:40" x14ac:dyDescent="0.2">
      <c r="AG321" s="3">
        <v>55</v>
      </c>
      <c r="AH321" s="48">
        <f t="shared" ca="1" si="57"/>
        <v>0</v>
      </c>
      <c r="AI321" s="48">
        <f t="shared" ca="1" si="58"/>
        <v>0</v>
      </c>
      <c r="AJ321" s="48">
        <f t="shared" ca="1" si="59"/>
        <v>0</v>
      </c>
      <c r="AK321" s="48">
        <f t="shared" ca="1" si="60"/>
        <v>0</v>
      </c>
      <c r="AL321" s="48">
        <f t="shared" ca="1" si="61"/>
        <v>0</v>
      </c>
      <c r="AM321" s="48">
        <f t="shared" ca="1" si="62"/>
        <v>0</v>
      </c>
      <c r="AN321" s="48">
        <f t="shared" ca="1" si="63"/>
        <v>0</v>
      </c>
    </row>
    <row r="322" spans="33:40" x14ac:dyDescent="0.2">
      <c r="AG322" s="3">
        <v>56</v>
      </c>
      <c r="AH322" s="48">
        <f t="shared" ca="1" si="57"/>
        <v>0</v>
      </c>
      <c r="AI322" s="48">
        <f t="shared" ca="1" si="58"/>
        <v>0</v>
      </c>
      <c r="AJ322" s="48">
        <f t="shared" ca="1" si="59"/>
        <v>0</v>
      </c>
      <c r="AK322" s="48">
        <f t="shared" ca="1" si="60"/>
        <v>0</v>
      </c>
      <c r="AL322" s="48">
        <f t="shared" ca="1" si="61"/>
        <v>0</v>
      </c>
      <c r="AM322" s="48">
        <f t="shared" ca="1" si="62"/>
        <v>0</v>
      </c>
      <c r="AN322" s="48">
        <f t="shared" ca="1" si="63"/>
        <v>0</v>
      </c>
    </row>
    <row r="323" spans="33:40" x14ac:dyDescent="0.2">
      <c r="AG323" s="3">
        <v>57</v>
      </c>
      <c r="AH323" s="48">
        <f t="shared" ca="1" si="57"/>
        <v>0</v>
      </c>
      <c r="AI323" s="48">
        <f t="shared" ca="1" si="58"/>
        <v>0</v>
      </c>
      <c r="AJ323" s="48">
        <f t="shared" ca="1" si="59"/>
        <v>0</v>
      </c>
      <c r="AK323" s="48">
        <f t="shared" ca="1" si="60"/>
        <v>0</v>
      </c>
      <c r="AL323" s="48">
        <f t="shared" ca="1" si="61"/>
        <v>0</v>
      </c>
      <c r="AM323" s="48">
        <f t="shared" ca="1" si="62"/>
        <v>0</v>
      </c>
      <c r="AN323" s="48">
        <f t="shared" ca="1" si="63"/>
        <v>0</v>
      </c>
    </row>
    <row r="324" spans="33:40" x14ac:dyDescent="0.2">
      <c r="AG324" s="3">
        <v>58</v>
      </c>
      <c r="AH324" s="48">
        <f t="shared" ca="1" si="57"/>
        <v>0</v>
      </c>
      <c r="AI324" s="48">
        <f t="shared" ca="1" si="58"/>
        <v>0</v>
      </c>
      <c r="AJ324" s="48">
        <f t="shared" ca="1" si="59"/>
        <v>0</v>
      </c>
      <c r="AK324" s="48">
        <f t="shared" ca="1" si="60"/>
        <v>0</v>
      </c>
      <c r="AL324" s="48">
        <f t="shared" ca="1" si="61"/>
        <v>0</v>
      </c>
      <c r="AM324" s="48">
        <f t="shared" ca="1" si="62"/>
        <v>0</v>
      </c>
      <c r="AN324" s="48">
        <f t="shared" ca="1" si="63"/>
        <v>0</v>
      </c>
    </row>
    <row r="325" spans="33:40" x14ac:dyDescent="0.2">
      <c r="AG325" s="3">
        <v>59</v>
      </c>
      <c r="AH325" s="48">
        <f t="shared" ca="1" si="57"/>
        <v>0</v>
      </c>
      <c r="AI325" s="48">
        <f t="shared" ca="1" si="58"/>
        <v>0</v>
      </c>
      <c r="AJ325" s="48">
        <f t="shared" ca="1" si="59"/>
        <v>0</v>
      </c>
      <c r="AK325" s="48">
        <f t="shared" ca="1" si="60"/>
        <v>0</v>
      </c>
      <c r="AL325" s="48">
        <f t="shared" ca="1" si="61"/>
        <v>0</v>
      </c>
      <c r="AM325" s="48">
        <f t="shared" ca="1" si="62"/>
        <v>0</v>
      </c>
      <c r="AN325" s="48">
        <f t="shared" ca="1" si="63"/>
        <v>0</v>
      </c>
    </row>
    <row r="326" spans="33:40" x14ac:dyDescent="0.2">
      <c r="AG326" s="3">
        <v>60</v>
      </c>
      <c r="AH326" s="48">
        <f t="shared" ca="1" si="57"/>
        <v>0</v>
      </c>
      <c r="AI326" s="48">
        <f t="shared" ca="1" si="58"/>
        <v>0</v>
      </c>
      <c r="AJ326" s="48">
        <f t="shared" ca="1" si="59"/>
        <v>0</v>
      </c>
      <c r="AK326" s="48">
        <f t="shared" ca="1" si="60"/>
        <v>0</v>
      </c>
      <c r="AL326" s="48">
        <f t="shared" ca="1" si="61"/>
        <v>0</v>
      </c>
      <c r="AM326" s="48">
        <f t="shared" ca="1" si="62"/>
        <v>0</v>
      </c>
      <c r="AN326" s="48">
        <f t="shared" ca="1" si="63"/>
        <v>0</v>
      </c>
    </row>
    <row r="327" spans="33:40" x14ac:dyDescent="0.2">
      <c r="AG327" s="3">
        <v>61</v>
      </c>
      <c r="AH327" s="48">
        <f t="shared" ca="1" si="57"/>
        <v>0</v>
      </c>
      <c r="AI327" s="48">
        <f t="shared" ca="1" si="58"/>
        <v>0</v>
      </c>
      <c r="AJ327" s="48">
        <f t="shared" ca="1" si="59"/>
        <v>0</v>
      </c>
      <c r="AK327" s="48">
        <f t="shared" ca="1" si="60"/>
        <v>0</v>
      </c>
      <c r="AL327" s="48">
        <f t="shared" ca="1" si="61"/>
        <v>0</v>
      </c>
      <c r="AM327" s="48">
        <f t="shared" ca="1" si="62"/>
        <v>0</v>
      </c>
      <c r="AN327" s="48">
        <f t="shared" ca="1" si="63"/>
        <v>0</v>
      </c>
    </row>
    <row r="328" spans="33:40" x14ac:dyDescent="0.2">
      <c r="AG328" s="3">
        <v>62</v>
      </c>
      <c r="AH328" s="48">
        <f t="shared" ca="1" si="57"/>
        <v>0</v>
      </c>
      <c r="AI328" s="48">
        <f t="shared" ca="1" si="58"/>
        <v>0</v>
      </c>
      <c r="AJ328" s="48">
        <f t="shared" ca="1" si="59"/>
        <v>0</v>
      </c>
      <c r="AK328" s="48">
        <f t="shared" ca="1" si="60"/>
        <v>0</v>
      </c>
      <c r="AL328" s="48">
        <f t="shared" ca="1" si="61"/>
        <v>0</v>
      </c>
      <c r="AM328" s="48">
        <f t="shared" ca="1" si="62"/>
        <v>0</v>
      </c>
      <c r="AN328" s="48">
        <f t="shared" ca="1" si="63"/>
        <v>0</v>
      </c>
    </row>
    <row r="329" spans="33:40" x14ac:dyDescent="0.2">
      <c r="AG329" s="3">
        <v>63</v>
      </c>
      <c r="AH329" s="48">
        <f t="shared" ca="1" si="57"/>
        <v>0</v>
      </c>
      <c r="AI329" s="48">
        <f t="shared" ca="1" si="58"/>
        <v>0</v>
      </c>
      <c r="AJ329" s="48">
        <f t="shared" ca="1" si="59"/>
        <v>0</v>
      </c>
      <c r="AK329" s="48">
        <f t="shared" ca="1" si="60"/>
        <v>0</v>
      </c>
      <c r="AL329" s="48">
        <f t="shared" ca="1" si="61"/>
        <v>0</v>
      </c>
      <c r="AM329" s="48">
        <f t="shared" ca="1" si="62"/>
        <v>0</v>
      </c>
      <c r="AN329" s="48">
        <f t="shared" ca="1" si="63"/>
        <v>0</v>
      </c>
    </row>
    <row r="330" spans="33:40" x14ac:dyDescent="0.2">
      <c r="AG330" s="3">
        <v>64</v>
      </c>
      <c r="AH330" s="48">
        <f t="shared" ca="1" si="57"/>
        <v>0</v>
      </c>
      <c r="AI330" s="48">
        <f t="shared" ca="1" si="58"/>
        <v>0</v>
      </c>
      <c r="AJ330" s="48">
        <f t="shared" ca="1" si="59"/>
        <v>0</v>
      </c>
      <c r="AK330" s="48">
        <f t="shared" ca="1" si="60"/>
        <v>0</v>
      </c>
      <c r="AL330" s="48">
        <f t="shared" ca="1" si="61"/>
        <v>0</v>
      </c>
      <c r="AM330" s="48">
        <f t="shared" ca="1" si="62"/>
        <v>0</v>
      </c>
      <c r="AN330" s="48">
        <f t="shared" ca="1" si="63"/>
        <v>0</v>
      </c>
    </row>
    <row r="331" spans="33:40" x14ac:dyDescent="0.2">
      <c r="AG331" s="3">
        <v>65</v>
      </c>
      <c r="AH331" s="48">
        <f t="shared" ref="AH331:AH362" ca="1" si="64">IF(OFFSET(BTCODE_B,AG331-1,0)&lt;&gt;0,CONCATENATE(OFFSET(BTCODE_B,AG331-1,0)," ",OFFSET(BTCODE_B,AG331-1,1)),0)</f>
        <v>0</v>
      </c>
      <c r="AI331" s="48">
        <f t="shared" ref="AI331:AI365" ca="1" si="65">OFFSET(BTCODE_B,AG331-1,2)</f>
        <v>0</v>
      </c>
      <c r="AJ331" s="48">
        <f t="shared" ref="AJ331:AJ365" ca="1" si="66">OFFSET(BTCODE_B,AG331-1,3)</f>
        <v>0</v>
      </c>
      <c r="AK331" s="48">
        <f t="shared" ref="AK331:AK365" ca="1" si="67">OFFSET(BTCODE_B,AG331-1,4)</f>
        <v>0</v>
      </c>
      <c r="AL331" s="48">
        <f t="shared" ref="AL331:AL365" ca="1" si="68">OFFSET(BTCODE_B,AG331-1,5)</f>
        <v>0</v>
      </c>
      <c r="AM331" s="48">
        <f t="shared" ref="AM331:AM365" ca="1" si="69">OFFSET(BTCODE_B,AG331-1,6)</f>
        <v>0</v>
      </c>
      <c r="AN331" s="48">
        <f t="shared" ref="AN331:AN365" ca="1" si="70">OFFSET(BTCODE_B,AG331-1,7)</f>
        <v>0</v>
      </c>
    </row>
    <row r="332" spans="33:40" x14ac:dyDescent="0.2">
      <c r="AG332" s="3">
        <v>66</v>
      </c>
      <c r="AH332" s="48">
        <f t="shared" ca="1" si="64"/>
        <v>0</v>
      </c>
      <c r="AI332" s="48">
        <f t="shared" ca="1" si="65"/>
        <v>0</v>
      </c>
      <c r="AJ332" s="48">
        <f t="shared" ca="1" si="66"/>
        <v>0</v>
      </c>
      <c r="AK332" s="48">
        <f t="shared" ca="1" si="67"/>
        <v>0</v>
      </c>
      <c r="AL332" s="48">
        <f t="shared" ca="1" si="68"/>
        <v>0</v>
      </c>
      <c r="AM332" s="48">
        <f t="shared" ca="1" si="69"/>
        <v>0</v>
      </c>
      <c r="AN332" s="48">
        <f t="shared" ca="1" si="70"/>
        <v>0</v>
      </c>
    </row>
    <row r="333" spans="33:40" x14ac:dyDescent="0.2">
      <c r="AG333" s="3">
        <v>67</v>
      </c>
      <c r="AH333" s="48">
        <f t="shared" ca="1" si="64"/>
        <v>0</v>
      </c>
      <c r="AI333" s="48">
        <f t="shared" ca="1" si="65"/>
        <v>0</v>
      </c>
      <c r="AJ333" s="48">
        <f t="shared" ca="1" si="66"/>
        <v>0</v>
      </c>
      <c r="AK333" s="48">
        <f t="shared" ca="1" si="67"/>
        <v>0</v>
      </c>
      <c r="AL333" s="48">
        <f t="shared" ca="1" si="68"/>
        <v>0</v>
      </c>
      <c r="AM333" s="48">
        <f t="shared" ca="1" si="69"/>
        <v>0</v>
      </c>
      <c r="AN333" s="48">
        <f t="shared" ca="1" si="70"/>
        <v>0</v>
      </c>
    </row>
    <row r="334" spans="33:40" x14ac:dyDescent="0.2">
      <c r="AG334" s="3">
        <v>68</v>
      </c>
      <c r="AH334" s="48">
        <f t="shared" ca="1" si="64"/>
        <v>0</v>
      </c>
      <c r="AI334" s="48">
        <f t="shared" ca="1" si="65"/>
        <v>0</v>
      </c>
      <c r="AJ334" s="48">
        <f t="shared" ca="1" si="66"/>
        <v>0</v>
      </c>
      <c r="AK334" s="48">
        <f t="shared" ca="1" si="67"/>
        <v>0</v>
      </c>
      <c r="AL334" s="48">
        <f t="shared" ca="1" si="68"/>
        <v>0</v>
      </c>
      <c r="AM334" s="48">
        <f t="shared" ca="1" si="69"/>
        <v>0</v>
      </c>
      <c r="AN334" s="48">
        <f t="shared" ca="1" si="70"/>
        <v>0</v>
      </c>
    </row>
    <row r="335" spans="33:40" x14ac:dyDescent="0.2">
      <c r="AG335" s="3">
        <v>69</v>
      </c>
      <c r="AH335" s="48">
        <f t="shared" ca="1" si="64"/>
        <v>0</v>
      </c>
      <c r="AI335" s="48">
        <f t="shared" ca="1" si="65"/>
        <v>0</v>
      </c>
      <c r="AJ335" s="48">
        <f t="shared" ca="1" si="66"/>
        <v>0</v>
      </c>
      <c r="AK335" s="48">
        <f t="shared" ca="1" si="67"/>
        <v>0</v>
      </c>
      <c r="AL335" s="48">
        <f t="shared" ca="1" si="68"/>
        <v>0</v>
      </c>
      <c r="AM335" s="48">
        <f t="shared" ca="1" si="69"/>
        <v>0</v>
      </c>
      <c r="AN335" s="48">
        <f t="shared" ca="1" si="70"/>
        <v>0</v>
      </c>
    </row>
    <row r="336" spans="33:40" x14ac:dyDescent="0.2">
      <c r="AG336" s="3">
        <v>70</v>
      </c>
      <c r="AH336" s="48">
        <f t="shared" ca="1" si="64"/>
        <v>0</v>
      </c>
      <c r="AI336" s="48">
        <f t="shared" ca="1" si="65"/>
        <v>0</v>
      </c>
      <c r="AJ336" s="48">
        <f t="shared" ca="1" si="66"/>
        <v>0</v>
      </c>
      <c r="AK336" s="48">
        <f t="shared" ca="1" si="67"/>
        <v>0</v>
      </c>
      <c r="AL336" s="48">
        <f t="shared" ca="1" si="68"/>
        <v>0</v>
      </c>
      <c r="AM336" s="48">
        <f t="shared" ca="1" si="69"/>
        <v>0</v>
      </c>
      <c r="AN336" s="48">
        <f t="shared" ca="1" si="70"/>
        <v>0</v>
      </c>
    </row>
    <row r="337" spans="33:40" x14ac:dyDescent="0.2">
      <c r="AG337" s="3">
        <v>71</v>
      </c>
      <c r="AH337" s="48">
        <f t="shared" ca="1" si="64"/>
        <v>0</v>
      </c>
      <c r="AI337" s="48">
        <f t="shared" ca="1" si="65"/>
        <v>0</v>
      </c>
      <c r="AJ337" s="48">
        <f t="shared" ca="1" si="66"/>
        <v>0</v>
      </c>
      <c r="AK337" s="48">
        <f t="shared" ca="1" si="67"/>
        <v>0</v>
      </c>
      <c r="AL337" s="48">
        <f t="shared" ca="1" si="68"/>
        <v>0</v>
      </c>
      <c r="AM337" s="48">
        <f t="shared" ca="1" si="69"/>
        <v>0</v>
      </c>
      <c r="AN337" s="48">
        <f t="shared" ca="1" si="70"/>
        <v>0</v>
      </c>
    </row>
    <row r="338" spans="33:40" x14ac:dyDescent="0.2">
      <c r="AG338" s="3">
        <v>72</v>
      </c>
      <c r="AH338" s="48">
        <f t="shared" ca="1" si="64"/>
        <v>0</v>
      </c>
      <c r="AI338" s="48">
        <f t="shared" ca="1" si="65"/>
        <v>0</v>
      </c>
      <c r="AJ338" s="48">
        <f t="shared" ca="1" si="66"/>
        <v>0</v>
      </c>
      <c r="AK338" s="48">
        <f t="shared" ca="1" si="67"/>
        <v>0</v>
      </c>
      <c r="AL338" s="48">
        <f t="shared" ca="1" si="68"/>
        <v>0</v>
      </c>
      <c r="AM338" s="48">
        <f t="shared" ca="1" si="69"/>
        <v>0</v>
      </c>
      <c r="AN338" s="48">
        <f t="shared" ca="1" si="70"/>
        <v>0</v>
      </c>
    </row>
    <row r="339" spans="33:40" x14ac:dyDescent="0.2">
      <c r="AG339" s="3">
        <v>73</v>
      </c>
      <c r="AH339" s="48">
        <f t="shared" ca="1" si="64"/>
        <v>0</v>
      </c>
      <c r="AI339" s="48">
        <f t="shared" ca="1" si="65"/>
        <v>0</v>
      </c>
      <c r="AJ339" s="48">
        <f t="shared" ca="1" si="66"/>
        <v>0</v>
      </c>
      <c r="AK339" s="48">
        <f t="shared" ca="1" si="67"/>
        <v>0</v>
      </c>
      <c r="AL339" s="48">
        <f t="shared" ca="1" si="68"/>
        <v>0</v>
      </c>
      <c r="AM339" s="48">
        <f t="shared" ca="1" si="69"/>
        <v>0</v>
      </c>
      <c r="AN339" s="48">
        <f t="shared" ca="1" si="70"/>
        <v>0</v>
      </c>
    </row>
    <row r="340" spans="33:40" x14ac:dyDescent="0.2">
      <c r="AG340" s="3">
        <v>74</v>
      </c>
      <c r="AH340" s="48">
        <f t="shared" ca="1" si="64"/>
        <v>0</v>
      </c>
      <c r="AI340" s="48">
        <f t="shared" ca="1" si="65"/>
        <v>0</v>
      </c>
      <c r="AJ340" s="48">
        <f t="shared" ca="1" si="66"/>
        <v>0</v>
      </c>
      <c r="AK340" s="48">
        <f t="shared" ca="1" si="67"/>
        <v>0</v>
      </c>
      <c r="AL340" s="48">
        <f t="shared" ca="1" si="68"/>
        <v>0</v>
      </c>
      <c r="AM340" s="48">
        <f t="shared" ca="1" si="69"/>
        <v>0</v>
      </c>
      <c r="AN340" s="48">
        <f t="shared" ca="1" si="70"/>
        <v>0</v>
      </c>
    </row>
    <row r="341" spans="33:40" x14ac:dyDescent="0.2">
      <c r="AG341" s="3">
        <v>75</v>
      </c>
      <c r="AH341" s="48">
        <f t="shared" ca="1" si="64"/>
        <v>0</v>
      </c>
      <c r="AI341" s="48">
        <f t="shared" ca="1" si="65"/>
        <v>0</v>
      </c>
      <c r="AJ341" s="48">
        <f t="shared" ca="1" si="66"/>
        <v>0</v>
      </c>
      <c r="AK341" s="48">
        <f t="shared" ca="1" si="67"/>
        <v>0</v>
      </c>
      <c r="AL341" s="48">
        <f t="shared" ca="1" si="68"/>
        <v>0</v>
      </c>
      <c r="AM341" s="48">
        <f t="shared" ca="1" si="69"/>
        <v>0</v>
      </c>
      <c r="AN341" s="48">
        <f t="shared" ca="1" si="70"/>
        <v>0</v>
      </c>
    </row>
    <row r="342" spans="33:40" x14ac:dyDescent="0.2">
      <c r="AG342" s="3">
        <v>76</v>
      </c>
      <c r="AH342" s="48">
        <f t="shared" ca="1" si="64"/>
        <v>0</v>
      </c>
      <c r="AI342" s="48">
        <f t="shared" ca="1" si="65"/>
        <v>0</v>
      </c>
      <c r="AJ342" s="48">
        <f t="shared" ca="1" si="66"/>
        <v>0</v>
      </c>
      <c r="AK342" s="48">
        <f t="shared" ca="1" si="67"/>
        <v>0</v>
      </c>
      <c r="AL342" s="48">
        <f t="shared" ca="1" si="68"/>
        <v>0</v>
      </c>
      <c r="AM342" s="48">
        <f t="shared" ca="1" si="69"/>
        <v>0</v>
      </c>
      <c r="AN342" s="48">
        <f t="shared" ca="1" si="70"/>
        <v>0</v>
      </c>
    </row>
    <row r="343" spans="33:40" x14ac:dyDescent="0.2">
      <c r="AG343" s="3">
        <v>77</v>
      </c>
      <c r="AH343" s="48">
        <f t="shared" ca="1" si="64"/>
        <v>0</v>
      </c>
      <c r="AI343" s="48">
        <f t="shared" ca="1" si="65"/>
        <v>0</v>
      </c>
      <c r="AJ343" s="48">
        <f t="shared" ca="1" si="66"/>
        <v>0</v>
      </c>
      <c r="AK343" s="48">
        <f t="shared" ca="1" si="67"/>
        <v>0</v>
      </c>
      <c r="AL343" s="48">
        <f t="shared" ca="1" si="68"/>
        <v>0</v>
      </c>
      <c r="AM343" s="48">
        <f t="shared" ca="1" si="69"/>
        <v>0</v>
      </c>
      <c r="AN343" s="48">
        <f t="shared" ca="1" si="70"/>
        <v>0</v>
      </c>
    </row>
    <row r="344" spans="33:40" x14ac:dyDescent="0.2">
      <c r="AG344" s="3">
        <v>78</v>
      </c>
      <c r="AH344" s="48">
        <f t="shared" ca="1" si="64"/>
        <v>0</v>
      </c>
      <c r="AI344" s="48">
        <f t="shared" ca="1" si="65"/>
        <v>0</v>
      </c>
      <c r="AJ344" s="48">
        <f t="shared" ca="1" si="66"/>
        <v>0</v>
      </c>
      <c r="AK344" s="48">
        <f t="shared" ca="1" si="67"/>
        <v>0</v>
      </c>
      <c r="AL344" s="48">
        <f t="shared" ca="1" si="68"/>
        <v>0</v>
      </c>
      <c r="AM344" s="48">
        <f t="shared" ca="1" si="69"/>
        <v>0</v>
      </c>
      <c r="AN344" s="48">
        <f t="shared" ca="1" si="70"/>
        <v>0</v>
      </c>
    </row>
    <row r="345" spans="33:40" x14ac:dyDescent="0.2">
      <c r="AG345" s="3">
        <v>79</v>
      </c>
      <c r="AH345" s="48">
        <f t="shared" ca="1" si="64"/>
        <v>0</v>
      </c>
      <c r="AI345" s="48">
        <f t="shared" ca="1" si="65"/>
        <v>0</v>
      </c>
      <c r="AJ345" s="48">
        <f t="shared" ca="1" si="66"/>
        <v>0</v>
      </c>
      <c r="AK345" s="48">
        <f t="shared" ca="1" si="67"/>
        <v>0</v>
      </c>
      <c r="AL345" s="48">
        <f t="shared" ca="1" si="68"/>
        <v>0</v>
      </c>
      <c r="AM345" s="48">
        <f t="shared" ca="1" si="69"/>
        <v>0</v>
      </c>
      <c r="AN345" s="48">
        <f t="shared" ca="1" si="70"/>
        <v>0</v>
      </c>
    </row>
    <row r="346" spans="33:40" x14ac:dyDescent="0.2">
      <c r="AG346" s="3">
        <v>80</v>
      </c>
      <c r="AH346" s="48">
        <f t="shared" ca="1" si="64"/>
        <v>0</v>
      </c>
      <c r="AI346" s="48">
        <f t="shared" ca="1" si="65"/>
        <v>0</v>
      </c>
      <c r="AJ346" s="48">
        <f t="shared" ca="1" si="66"/>
        <v>0</v>
      </c>
      <c r="AK346" s="48">
        <f t="shared" ca="1" si="67"/>
        <v>0</v>
      </c>
      <c r="AL346" s="48">
        <f t="shared" ca="1" si="68"/>
        <v>0</v>
      </c>
      <c r="AM346" s="48">
        <f t="shared" ca="1" si="69"/>
        <v>0</v>
      </c>
      <c r="AN346" s="48">
        <f t="shared" ca="1" si="70"/>
        <v>0</v>
      </c>
    </row>
    <row r="347" spans="33:40" x14ac:dyDescent="0.2">
      <c r="AG347" s="3">
        <v>81</v>
      </c>
      <c r="AH347" s="48">
        <f t="shared" ca="1" si="64"/>
        <v>0</v>
      </c>
      <c r="AI347" s="48">
        <f t="shared" ca="1" si="65"/>
        <v>0</v>
      </c>
      <c r="AJ347" s="48">
        <f t="shared" ca="1" si="66"/>
        <v>0</v>
      </c>
      <c r="AK347" s="48">
        <f t="shared" ca="1" si="67"/>
        <v>0</v>
      </c>
      <c r="AL347" s="48">
        <f t="shared" ca="1" si="68"/>
        <v>0</v>
      </c>
      <c r="AM347" s="48">
        <f t="shared" ca="1" si="69"/>
        <v>0</v>
      </c>
      <c r="AN347" s="48">
        <f t="shared" ca="1" si="70"/>
        <v>0</v>
      </c>
    </row>
    <row r="348" spans="33:40" x14ac:dyDescent="0.2">
      <c r="AG348" s="3">
        <v>82</v>
      </c>
      <c r="AH348" s="48">
        <f t="shared" ca="1" si="64"/>
        <v>0</v>
      </c>
      <c r="AI348" s="48">
        <f t="shared" ca="1" si="65"/>
        <v>0</v>
      </c>
      <c r="AJ348" s="48">
        <f t="shared" ca="1" si="66"/>
        <v>0</v>
      </c>
      <c r="AK348" s="48">
        <f t="shared" ca="1" si="67"/>
        <v>0</v>
      </c>
      <c r="AL348" s="48">
        <f t="shared" ca="1" si="68"/>
        <v>0</v>
      </c>
      <c r="AM348" s="48">
        <f t="shared" ca="1" si="69"/>
        <v>0</v>
      </c>
      <c r="AN348" s="48">
        <f t="shared" ca="1" si="70"/>
        <v>0</v>
      </c>
    </row>
    <row r="349" spans="33:40" x14ac:dyDescent="0.2">
      <c r="AG349" s="3">
        <v>83</v>
      </c>
      <c r="AH349" s="48">
        <f t="shared" ca="1" si="64"/>
        <v>0</v>
      </c>
      <c r="AI349" s="48">
        <f t="shared" ca="1" si="65"/>
        <v>0</v>
      </c>
      <c r="AJ349" s="48">
        <f t="shared" ca="1" si="66"/>
        <v>0</v>
      </c>
      <c r="AK349" s="48">
        <f t="shared" ca="1" si="67"/>
        <v>0</v>
      </c>
      <c r="AL349" s="48">
        <f t="shared" ca="1" si="68"/>
        <v>0</v>
      </c>
      <c r="AM349" s="48">
        <f t="shared" ca="1" si="69"/>
        <v>0</v>
      </c>
      <c r="AN349" s="48">
        <f t="shared" ca="1" si="70"/>
        <v>0</v>
      </c>
    </row>
    <row r="350" spans="33:40" x14ac:dyDescent="0.2">
      <c r="AG350" s="3">
        <v>84</v>
      </c>
      <c r="AH350" s="48">
        <f t="shared" ca="1" si="64"/>
        <v>0</v>
      </c>
      <c r="AI350" s="48">
        <f t="shared" ca="1" si="65"/>
        <v>0</v>
      </c>
      <c r="AJ350" s="48">
        <f t="shared" ca="1" si="66"/>
        <v>0</v>
      </c>
      <c r="AK350" s="48">
        <f t="shared" ca="1" si="67"/>
        <v>0</v>
      </c>
      <c r="AL350" s="48">
        <f t="shared" ca="1" si="68"/>
        <v>0</v>
      </c>
      <c r="AM350" s="48">
        <f t="shared" ca="1" si="69"/>
        <v>0</v>
      </c>
      <c r="AN350" s="48">
        <f t="shared" ca="1" si="70"/>
        <v>0</v>
      </c>
    </row>
    <row r="351" spans="33:40" x14ac:dyDescent="0.2">
      <c r="AG351" s="3">
        <v>85</v>
      </c>
      <c r="AH351" s="48">
        <f t="shared" ca="1" si="64"/>
        <v>0</v>
      </c>
      <c r="AI351" s="48">
        <f t="shared" ca="1" si="65"/>
        <v>0</v>
      </c>
      <c r="AJ351" s="48">
        <f t="shared" ca="1" si="66"/>
        <v>0</v>
      </c>
      <c r="AK351" s="48">
        <f t="shared" ca="1" si="67"/>
        <v>0</v>
      </c>
      <c r="AL351" s="48">
        <f t="shared" ca="1" si="68"/>
        <v>0</v>
      </c>
      <c r="AM351" s="48">
        <f t="shared" ca="1" si="69"/>
        <v>0</v>
      </c>
      <c r="AN351" s="48">
        <f t="shared" ca="1" si="70"/>
        <v>0</v>
      </c>
    </row>
    <row r="352" spans="33:40" x14ac:dyDescent="0.2">
      <c r="AG352" s="3">
        <v>86</v>
      </c>
      <c r="AH352" s="48">
        <f t="shared" ca="1" si="64"/>
        <v>0</v>
      </c>
      <c r="AI352" s="48">
        <f t="shared" ca="1" si="65"/>
        <v>0</v>
      </c>
      <c r="AJ352" s="48">
        <f t="shared" ca="1" si="66"/>
        <v>0</v>
      </c>
      <c r="AK352" s="48">
        <f t="shared" ca="1" si="67"/>
        <v>0</v>
      </c>
      <c r="AL352" s="48">
        <f t="shared" ca="1" si="68"/>
        <v>0</v>
      </c>
      <c r="AM352" s="48">
        <f t="shared" ca="1" si="69"/>
        <v>0</v>
      </c>
      <c r="AN352" s="48">
        <f t="shared" ca="1" si="70"/>
        <v>0</v>
      </c>
    </row>
    <row r="353" spans="1:43" x14ac:dyDescent="0.2">
      <c r="AG353" s="3">
        <v>87</v>
      </c>
      <c r="AH353" s="48">
        <f t="shared" ca="1" si="64"/>
        <v>0</v>
      </c>
      <c r="AI353" s="48">
        <f t="shared" ca="1" si="65"/>
        <v>0</v>
      </c>
      <c r="AJ353" s="48">
        <f t="shared" ca="1" si="66"/>
        <v>0</v>
      </c>
      <c r="AK353" s="48">
        <f t="shared" ca="1" si="67"/>
        <v>0</v>
      </c>
      <c r="AL353" s="48">
        <f t="shared" ca="1" si="68"/>
        <v>0</v>
      </c>
      <c r="AM353" s="48">
        <f t="shared" ca="1" si="69"/>
        <v>0</v>
      </c>
      <c r="AN353" s="48">
        <f t="shared" ca="1" si="70"/>
        <v>0</v>
      </c>
    </row>
    <row r="354" spans="1:43" x14ac:dyDescent="0.2">
      <c r="AG354" s="3">
        <v>88</v>
      </c>
      <c r="AH354" s="48">
        <f t="shared" ca="1" si="64"/>
        <v>0</v>
      </c>
      <c r="AI354" s="48">
        <f t="shared" ca="1" si="65"/>
        <v>0</v>
      </c>
      <c r="AJ354" s="48">
        <f t="shared" ca="1" si="66"/>
        <v>0</v>
      </c>
      <c r="AK354" s="48">
        <f t="shared" ca="1" si="67"/>
        <v>0</v>
      </c>
      <c r="AL354" s="48">
        <f t="shared" ca="1" si="68"/>
        <v>0</v>
      </c>
      <c r="AM354" s="48">
        <f t="shared" ca="1" si="69"/>
        <v>0</v>
      </c>
      <c r="AN354" s="48">
        <f t="shared" ca="1" si="70"/>
        <v>0</v>
      </c>
    </row>
    <row r="355" spans="1:43" x14ac:dyDescent="0.2">
      <c r="AG355" s="3">
        <v>89</v>
      </c>
      <c r="AH355" s="48">
        <f t="shared" ca="1" si="64"/>
        <v>0</v>
      </c>
      <c r="AI355" s="48">
        <f t="shared" ca="1" si="65"/>
        <v>0</v>
      </c>
      <c r="AJ355" s="48">
        <f t="shared" ca="1" si="66"/>
        <v>0</v>
      </c>
      <c r="AK355" s="48">
        <f t="shared" ca="1" si="67"/>
        <v>0</v>
      </c>
      <c r="AL355" s="48">
        <f t="shared" ca="1" si="68"/>
        <v>0</v>
      </c>
      <c r="AM355" s="48">
        <f t="shared" ca="1" si="69"/>
        <v>0</v>
      </c>
      <c r="AN355" s="48">
        <f t="shared" ca="1" si="70"/>
        <v>0</v>
      </c>
    </row>
    <row r="356" spans="1:43" x14ac:dyDescent="0.2">
      <c r="AG356" s="3">
        <v>90</v>
      </c>
      <c r="AH356" s="48">
        <f t="shared" ca="1" si="64"/>
        <v>0</v>
      </c>
      <c r="AI356" s="48">
        <f t="shared" ca="1" si="65"/>
        <v>0</v>
      </c>
      <c r="AJ356" s="48">
        <f t="shared" ca="1" si="66"/>
        <v>0</v>
      </c>
      <c r="AK356" s="48">
        <f t="shared" ca="1" si="67"/>
        <v>0</v>
      </c>
      <c r="AL356" s="48">
        <f t="shared" ca="1" si="68"/>
        <v>0</v>
      </c>
      <c r="AM356" s="48">
        <f t="shared" ca="1" si="69"/>
        <v>0</v>
      </c>
      <c r="AN356" s="48">
        <f t="shared" ca="1" si="70"/>
        <v>0</v>
      </c>
    </row>
    <row r="357" spans="1:43" x14ac:dyDescent="0.2">
      <c r="AG357" s="3">
        <v>91</v>
      </c>
      <c r="AH357" s="48">
        <f t="shared" ca="1" si="64"/>
        <v>0</v>
      </c>
      <c r="AI357" s="48">
        <f t="shared" ca="1" si="65"/>
        <v>0</v>
      </c>
      <c r="AJ357" s="48">
        <f t="shared" ca="1" si="66"/>
        <v>0</v>
      </c>
      <c r="AK357" s="48">
        <f t="shared" ca="1" si="67"/>
        <v>0</v>
      </c>
      <c r="AL357" s="48">
        <f t="shared" ca="1" si="68"/>
        <v>0</v>
      </c>
      <c r="AM357" s="48">
        <f t="shared" ca="1" si="69"/>
        <v>0</v>
      </c>
      <c r="AN357" s="48">
        <f t="shared" ca="1" si="70"/>
        <v>0</v>
      </c>
    </row>
    <row r="358" spans="1:43" x14ac:dyDescent="0.2">
      <c r="AG358" s="3">
        <v>92</v>
      </c>
      <c r="AH358" s="48">
        <f t="shared" ca="1" si="64"/>
        <v>0</v>
      </c>
      <c r="AI358" s="48">
        <f t="shared" ca="1" si="65"/>
        <v>0</v>
      </c>
      <c r="AJ358" s="48">
        <f t="shared" ca="1" si="66"/>
        <v>0</v>
      </c>
      <c r="AK358" s="48">
        <f t="shared" ca="1" si="67"/>
        <v>0</v>
      </c>
      <c r="AL358" s="48">
        <f t="shared" ca="1" si="68"/>
        <v>0</v>
      </c>
      <c r="AM358" s="48">
        <f t="shared" ca="1" si="69"/>
        <v>0</v>
      </c>
      <c r="AN358" s="48">
        <f t="shared" ca="1" si="70"/>
        <v>0</v>
      </c>
    </row>
    <row r="359" spans="1:43" x14ac:dyDescent="0.2">
      <c r="AG359" s="3">
        <v>93</v>
      </c>
      <c r="AH359" s="48">
        <f t="shared" ca="1" si="64"/>
        <v>0</v>
      </c>
      <c r="AI359" s="48">
        <f t="shared" ca="1" si="65"/>
        <v>0</v>
      </c>
      <c r="AJ359" s="48">
        <f t="shared" ca="1" si="66"/>
        <v>0</v>
      </c>
      <c r="AK359" s="48">
        <f t="shared" ca="1" si="67"/>
        <v>0</v>
      </c>
      <c r="AL359" s="48">
        <f t="shared" ca="1" si="68"/>
        <v>0</v>
      </c>
      <c r="AM359" s="48">
        <f t="shared" ca="1" si="69"/>
        <v>0</v>
      </c>
      <c r="AN359" s="48">
        <f t="shared" ca="1" si="70"/>
        <v>0</v>
      </c>
    </row>
    <row r="360" spans="1:43" x14ac:dyDescent="0.2">
      <c r="AG360" s="3">
        <v>94</v>
      </c>
      <c r="AH360" s="48">
        <f t="shared" ca="1" si="64"/>
        <v>0</v>
      </c>
      <c r="AI360" s="48">
        <f t="shared" ca="1" si="65"/>
        <v>0</v>
      </c>
      <c r="AJ360" s="48">
        <f t="shared" ca="1" si="66"/>
        <v>0</v>
      </c>
      <c r="AK360" s="48">
        <f t="shared" ca="1" si="67"/>
        <v>0</v>
      </c>
      <c r="AL360" s="48">
        <f t="shared" ca="1" si="68"/>
        <v>0</v>
      </c>
      <c r="AM360" s="48">
        <f t="shared" ca="1" si="69"/>
        <v>0</v>
      </c>
      <c r="AN360" s="48">
        <f t="shared" ca="1" si="70"/>
        <v>0</v>
      </c>
    </row>
    <row r="361" spans="1:43" x14ac:dyDescent="0.2">
      <c r="AG361" s="3">
        <v>95</v>
      </c>
      <c r="AH361" s="48">
        <f t="shared" ca="1" si="64"/>
        <v>0</v>
      </c>
      <c r="AI361" s="48">
        <f t="shared" ca="1" si="65"/>
        <v>0</v>
      </c>
      <c r="AJ361" s="48">
        <f t="shared" ca="1" si="66"/>
        <v>0</v>
      </c>
      <c r="AK361" s="48">
        <f t="shared" ca="1" si="67"/>
        <v>0</v>
      </c>
      <c r="AL361" s="48">
        <f t="shared" ca="1" si="68"/>
        <v>0</v>
      </c>
      <c r="AM361" s="48">
        <f t="shared" ca="1" si="69"/>
        <v>0</v>
      </c>
      <c r="AN361" s="48">
        <f t="shared" ca="1" si="70"/>
        <v>0</v>
      </c>
    </row>
    <row r="362" spans="1:43" x14ac:dyDescent="0.2">
      <c r="AG362" s="3">
        <v>96</v>
      </c>
      <c r="AH362" s="48">
        <f t="shared" ca="1" si="64"/>
        <v>0</v>
      </c>
      <c r="AI362" s="48">
        <f t="shared" ca="1" si="65"/>
        <v>0</v>
      </c>
      <c r="AJ362" s="48">
        <f t="shared" ca="1" si="66"/>
        <v>0</v>
      </c>
      <c r="AK362" s="48">
        <f t="shared" ca="1" si="67"/>
        <v>0</v>
      </c>
      <c r="AL362" s="48">
        <f t="shared" ca="1" si="68"/>
        <v>0</v>
      </c>
      <c r="AM362" s="48">
        <f t="shared" ca="1" si="69"/>
        <v>0</v>
      </c>
      <c r="AN362" s="48">
        <f t="shared" ca="1" si="70"/>
        <v>0</v>
      </c>
    </row>
    <row r="363" spans="1:43" x14ac:dyDescent="0.2">
      <c r="AG363" s="3">
        <v>97</v>
      </c>
      <c r="AH363" s="48">
        <f t="shared" ref="AH363:AH365" ca="1" si="71">IF(OFFSET(BTCODE_B,AG363-1,0)&lt;&gt;0,CONCATENATE(OFFSET(BTCODE_B,AG363-1,0)," ",OFFSET(BTCODE_B,AG363-1,1)),0)</f>
        <v>0</v>
      </c>
      <c r="AI363" s="48">
        <f t="shared" ca="1" si="65"/>
        <v>0</v>
      </c>
      <c r="AJ363" s="48">
        <f t="shared" ca="1" si="66"/>
        <v>0</v>
      </c>
      <c r="AK363" s="48">
        <f t="shared" ca="1" si="67"/>
        <v>0</v>
      </c>
      <c r="AL363" s="48">
        <f t="shared" ca="1" si="68"/>
        <v>0</v>
      </c>
      <c r="AM363" s="48">
        <f t="shared" ca="1" si="69"/>
        <v>0</v>
      </c>
      <c r="AN363" s="48">
        <f t="shared" ca="1" si="70"/>
        <v>0</v>
      </c>
    </row>
    <row r="364" spans="1:43" x14ac:dyDescent="0.2">
      <c r="AG364" s="3">
        <v>98</v>
      </c>
      <c r="AH364" s="48">
        <f t="shared" ca="1" si="71"/>
        <v>0</v>
      </c>
      <c r="AI364" s="48">
        <f t="shared" ca="1" si="65"/>
        <v>0</v>
      </c>
      <c r="AJ364" s="48">
        <f t="shared" ca="1" si="66"/>
        <v>0</v>
      </c>
      <c r="AK364" s="48">
        <f t="shared" ca="1" si="67"/>
        <v>0</v>
      </c>
      <c r="AL364" s="48">
        <f t="shared" ca="1" si="68"/>
        <v>0</v>
      </c>
      <c r="AM364" s="48">
        <f t="shared" ca="1" si="69"/>
        <v>0</v>
      </c>
      <c r="AN364" s="48">
        <f t="shared" ca="1" si="70"/>
        <v>0</v>
      </c>
    </row>
    <row r="365" spans="1:43" x14ac:dyDescent="0.2">
      <c r="AG365" s="3">
        <v>99</v>
      </c>
      <c r="AH365" s="48">
        <f t="shared" ca="1" si="71"/>
        <v>0</v>
      </c>
      <c r="AI365" s="48">
        <f t="shared" ca="1" si="65"/>
        <v>0</v>
      </c>
      <c r="AJ365" s="48">
        <f t="shared" ca="1" si="66"/>
        <v>0</v>
      </c>
      <c r="AK365" s="48">
        <f t="shared" ca="1" si="67"/>
        <v>0</v>
      </c>
      <c r="AL365" s="48">
        <f t="shared" ca="1" si="68"/>
        <v>0</v>
      </c>
      <c r="AM365" s="48">
        <f t="shared" ca="1" si="69"/>
        <v>0</v>
      </c>
      <c r="AN365" s="48">
        <f t="shared" ca="1" si="70"/>
        <v>0</v>
      </c>
    </row>
    <row r="368" spans="1:43" x14ac:dyDescent="0.2">
      <c r="A368" s="3" t="s">
        <v>281</v>
      </c>
      <c r="AP368" s="3" t="s">
        <v>283</v>
      </c>
      <c r="AQ368" s="3">
        <f>9-COUNTBLANK(AQ374:AQ382)</f>
        <v>2</v>
      </c>
    </row>
    <row r="369" spans="1:51" x14ac:dyDescent="0.2">
      <c r="AP369" s="3" t="s">
        <v>282</v>
      </c>
      <c r="AQ369" s="1"/>
      <c r="AR369" s="1"/>
    </row>
    <row r="370" spans="1:51" ht="15" x14ac:dyDescent="0.25">
      <c r="AP370"/>
      <c r="AQ370" s="44"/>
      <c r="AR370" s="44" t="s">
        <v>241</v>
      </c>
      <c r="AS370" s="44" t="s">
        <v>243</v>
      </c>
      <c r="AT370" s="44" t="s">
        <v>244</v>
      </c>
    </row>
    <row r="371" spans="1:51" ht="15" x14ac:dyDescent="0.25">
      <c r="AP371"/>
      <c r="AQ371" s="45"/>
      <c r="AR371" s="46" t="s">
        <v>336</v>
      </c>
      <c r="AS371" s="46" t="s">
        <v>336</v>
      </c>
      <c r="AT371" s="46" t="s">
        <v>337</v>
      </c>
    </row>
    <row r="372" spans="1:51" ht="15" x14ac:dyDescent="0.25">
      <c r="AP372" t="s">
        <v>24</v>
      </c>
      <c r="AQ372" s="48" t="s">
        <v>24</v>
      </c>
      <c r="AR372" s="49">
        <f>Bestand_primaerenergiebedarf</f>
        <v>294961.63500000001</v>
      </c>
      <c r="AS372" s="49">
        <f>Bestand_endenergiebedarf</f>
        <v>0</v>
      </c>
      <c r="AT372" s="49">
        <f>bestand_co2</f>
        <v>91765.842000000004</v>
      </c>
    </row>
    <row r="373" spans="1:51" x14ac:dyDescent="0.2">
      <c r="AP373" s="3" t="s">
        <v>247</v>
      </c>
      <c r="AQ373" s="48" t="str">
        <f>ModEinZugBez</f>
        <v>MP3</v>
      </c>
      <c r="AR373" s="49">
        <f>Ziel_qp</f>
        <v>40000</v>
      </c>
      <c r="AS373" s="49">
        <f>Ziel_qf</f>
        <v>23000</v>
      </c>
      <c r="AT373" s="49">
        <f>Ziel_co2</f>
        <v>5000</v>
      </c>
    </row>
    <row r="374" spans="1:51" ht="15" x14ac:dyDescent="0.25">
      <c r="AP374">
        <v>1</v>
      </c>
      <c r="AQ374" s="48" t="str">
        <f>IF(Mod1Bez&lt;&gt;"",Mod1Bez,"")</f>
        <v>MP1</v>
      </c>
      <c r="AR374" s="49">
        <f ca="1">IF(Mod1Bez&lt;&gt;"",OFFSET(Mod1Bez,8,0),"")</f>
        <v>45000.5</v>
      </c>
      <c r="AS374" s="49">
        <f ca="1">IF(Mod1Bez&lt;&gt;"",OFFSET(Mod1Bez,9,0),"")</f>
        <v>2500.5450000000001</v>
      </c>
      <c r="AT374" s="49">
        <f ca="1">IF(Mod1Bez&lt;&gt;"",OFFSET(Mod1Bez,10,0),"")</f>
        <v>5.6220999999999997</v>
      </c>
    </row>
    <row r="375" spans="1:51" x14ac:dyDescent="0.2">
      <c r="AP375" s="3">
        <v>2</v>
      </c>
      <c r="AQ375" s="48" t="str">
        <f>IF(Mod2Bez&lt;&gt;"",Mod2Bez,"")</f>
        <v>MP2</v>
      </c>
      <c r="AR375" s="49">
        <f ca="1">IF(Mod2Bez&lt;&gt;"",OFFSET(Mod2Bez,8,0),"")</f>
        <v>156465.2561</v>
      </c>
      <c r="AS375" s="49">
        <f ca="1">IF(Mod2Bez&lt;&gt;"",OFFSET(Mod2Bez,9,0),"")</f>
        <v>25611.156449999999</v>
      </c>
      <c r="AT375" s="49">
        <f ca="1">IF(Mod2Bez&lt;&gt;"",OFFSET(Mod2Bez,10,0),"")</f>
        <v>51.555999999999997</v>
      </c>
    </row>
    <row r="376" spans="1:51" x14ac:dyDescent="0.2">
      <c r="AP376" s="3">
        <v>3</v>
      </c>
      <c r="AQ376" s="48" t="str">
        <f>IF(Mod3Bez&lt;&gt;"",Mod3Bez,"")</f>
        <v/>
      </c>
      <c r="AR376" s="48" t="str">
        <f ca="1">IF(Mod3Bez&lt;&gt;"",OFFSET(Mod3Bez,8,0),"")</f>
        <v/>
      </c>
      <c r="AS376" s="48" t="str">
        <f ca="1">IF(Mod3Bez&lt;&gt;"",OFFSET(Mod3Bez,9,0),"")</f>
        <v/>
      </c>
      <c r="AT376" s="48" t="str">
        <f ca="1">IF(Mod3Bez&lt;&gt;"",OFFSET(Mod3Bez,10,0),"")</f>
        <v/>
      </c>
    </row>
    <row r="377" spans="1:51" x14ac:dyDescent="0.2">
      <c r="AP377" s="3">
        <v>4</v>
      </c>
      <c r="AQ377" s="48" t="str">
        <f>IF(Mod4Bez&lt;&gt;"",Mod4Bez,"")</f>
        <v/>
      </c>
      <c r="AR377" s="48" t="str">
        <f ca="1">IF(Mod4Bez&lt;&gt;"",OFFSET(Mod4Bez,8,0),"")</f>
        <v/>
      </c>
      <c r="AS377" s="48" t="str">
        <f ca="1">IF(Mod4Bez&lt;&gt;"",OFFSET(Mod4Bez,9,0),"")</f>
        <v/>
      </c>
      <c r="AT377" s="48" t="str">
        <f ca="1">IF(Mod4Bez&lt;&gt;"",OFFSET(Mod4Bez,10,0),"")</f>
        <v/>
      </c>
    </row>
    <row r="378" spans="1:51" x14ac:dyDescent="0.2">
      <c r="AP378" s="3">
        <v>5</v>
      </c>
      <c r="AQ378" s="48" t="str">
        <f>IF(Mod5Bez&lt;&gt;"",Mod5Bez,"")</f>
        <v/>
      </c>
      <c r="AR378" s="48" t="str">
        <f ca="1">IF(Mod5Bez&lt;&gt;"",OFFSET(Mod5Bez,8,0),"")</f>
        <v/>
      </c>
      <c r="AS378" s="48" t="str">
        <f ca="1">IF(Mod5Bez&lt;&gt;"",OFFSET(Mod5Bez,9,0),"")</f>
        <v/>
      </c>
      <c r="AT378" s="48" t="str">
        <f ca="1">IF(Mod5Bez&lt;&gt;"",OFFSET(Mod5Bez,10,0),"")</f>
        <v/>
      </c>
    </row>
    <row r="379" spans="1:51" ht="15" x14ac:dyDescent="0.25">
      <c r="AP379">
        <v>6</v>
      </c>
      <c r="AQ379" s="48" t="str">
        <f>IF(Mod6Bez&lt;&gt;"",Mod6Bez,"")</f>
        <v/>
      </c>
      <c r="AR379" s="48" t="str">
        <f ca="1">IF(Mod6Bez&lt;&gt;"",OFFSET(Mod6Bez,8,0),"")</f>
        <v/>
      </c>
      <c r="AS379" s="48" t="str">
        <f ca="1">IF(Mod6Bez&lt;&gt;"",OFFSET(Mod6Bez,9,0),"")</f>
        <v/>
      </c>
      <c r="AT379" s="48" t="str">
        <f ca="1">IF(Mod6Bez&lt;&gt;"",OFFSET(Mod6Bez,10,0),"")</f>
        <v/>
      </c>
    </row>
    <row r="380" spans="1:51" x14ac:dyDescent="0.2">
      <c r="AP380" s="3">
        <v>7</v>
      </c>
      <c r="AQ380" s="48" t="str">
        <f>IF(Mod7Bez&lt;&gt;"",Mod7Bez,"")</f>
        <v/>
      </c>
      <c r="AR380" s="48" t="str">
        <f ca="1">IF(Mod7Bez&lt;&gt;"",OFFSET(Mod7Bez,8,0),"")</f>
        <v/>
      </c>
      <c r="AS380" s="48" t="str">
        <f ca="1">IF(Mod7Bez&lt;&gt;"",OFFSET(Mod7Bez,9,0),"")</f>
        <v/>
      </c>
      <c r="AT380" s="48" t="str">
        <f ca="1">IF(Mod7Bez&lt;&gt;"",OFFSET(Mod7Bez,10,0),"")</f>
        <v/>
      </c>
    </row>
    <row r="381" spans="1:51" x14ac:dyDescent="0.2">
      <c r="AP381" s="3">
        <v>8</v>
      </c>
      <c r="AQ381" s="48" t="str">
        <f>IF(Mod8Bez&lt;&gt;"",Mod8Bez,"")</f>
        <v/>
      </c>
      <c r="AR381" s="48" t="str">
        <f ca="1">IF(Mod8Bez&lt;&gt;"",OFFSET(Mod8Bez,8,0),"")</f>
        <v/>
      </c>
      <c r="AS381" s="48" t="str">
        <f ca="1">IF(Mod8Bez&lt;&gt;"",OFFSET(Mod8Bez,9,0),"")</f>
        <v/>
      </c>
      <c r="AT381" s="48" t="str">
        <f ca="1">IF(Mod8Bez&lt;&gt;"",OFFSET(Mod8Bez,10,0),"")</f>
        <v/>
      </c>
    </row>
    <row r="382" spans="1:51" x14ac:dyDescent="0.2">
      <c r="AP382" s="3">
        <v>9</v>
      </c>
      <c r="AQ382" s="48" t="str">
        <f>IF(Mod9Bez&lt;&gt;"",Mod9Bez,"")</f>
        <v/>
      </c>
      <c r="AR382" s="48" t="str">
        <f ca="1">IF(Mod9Bez&lt;&gt;"",OFFSET(Mod9Bez,8,0),"")</f>
        <v/>
      </c>
      <c r="AS382" s="48" t="str">
        <f ca="1">IF(Mod9Bez&lt;&gt;"",OFFSET(Mod9Bez,9,0),"")</f>
        <v/>
      </c>
      <c r="AT382" s="48" t="str">
        <f ca="1">IF(Mod9Bez&lt;&gt;"",OFFSET(Mod9Bez,10,0),"")</f>
        <v/>
      </c>
    </row>
    <row r="383" spans="1:51" ht="15" x14ac:dyDescent="0.25">
      <c r="AP383"/>
    </row>
    <row r="384" spans="1:51" x14ac:dyDescent="0.2">
      <c r="A384" s="3" t="s">
        <v>292</v>
      </c>
      <c r="AV384" s="3" t="s">
        <v>284</v>
      </c>
      <c r="AX384" s="3" t="s">
        <v>285</v>
      </c>
      <c r="AY384" s="3">
        <f>AQ368</f>
        <v>2</v>
      </c>
    </row>
    <row r="385" spans="1:61" ht="38.25" x14ac:dyDescent="0.2">
      <c r="AW385" s="44"/>
      <c r="AX385" s="44" t="s">
        <v>286</v>
      </c>
      <c r="AY385" s="44" t="s">
        <v>280</v>
      </c>
      <c r="AZ385" s="44" t="s">
        <v>287</v>
      </c>
      <c r="BA385" s="44" t="s">
        <v>298</v>
      </c>
    </row>
    <row r="386" spans="1:61" x14ac:dyDescent="0.2">
      <c r="AW386" s="45"/>
      <c r="AX386" s="46" t="s">
        <v>38</v>
      </c>
      <c r="AY386" s="46" t="s">
        <v>38</v>
      </c>
      <c r="AZ386" s="46" t="s">
        <v>38</v>
      </c>
      <c r="BA386" s="46" t="s">
        <v>38</v>
      </c>
    </row>
    <row r="387" spans="1:61" x14ac:dyDescent="0.2">
      <c r="AV387" s="3" t="s">
        <v>247</v>
      </c>
      <c r="AW387" s="48" t="str">
        <f>ModEinZugBez</f>
        <v>MP3</v>
      </c>
      <c r="AX387" s="48">
        <f ca="1">IF(ModEinZugBez&lt;&gt;"",OFFSET(ModEinZugBez,7,0),"")</f>
        <v>100000</v>
      </c>
      <c r="AY387" s="48">
        <f ca="1">IF(ModEinZugBez&lt;&gt;"",OFFSET(ModEinZugBez,8,0),"")</f>
        <v>44451</v>
      </c>
      <c r="AZ387" s="48">
        <f ca="1">IF(ModEinZugBez&lt;&gt;"",OFFSET(ModEinZugBez,6,0),"")</f>
        <v>144451</v>
      </c>
      <c r="BA387" s="48">
        <f ca="1">IF(ModEinZugBez&lt;&gt;"",OFFSET(ModEinZugBez,9,0),"")</f>
        <v>22000</v>
      </c>
    </row>
    <row r="388" spans="1:61" ht="15" x14ac:dyDescent="0.25">
      <c r="AV388">
        <v>1</v>
      </c>
      <c r="AW388" s="48" t="str">
        <f>IF(Mod1Bez&lt;&gt;"",Mod1Bez,"")</f>
        <v>MP1</v>
      </c>
      <c r="AX388" s="48">
        <f ca="1">IF(Mod1Bez&lt;&gt;"",OFFSET(Mod1Bez,3,0),"")</f>
        <v>30000</v>
      </c>
      <c r="AY388" s="48">
        <f ca="1">IF(Mod1Bez&lt;&gt;"",OFFSET(Mod1Bez,4,0),"")</f>
        <v>9273</v>
      </c>
      <c r="AZ388" s="48">
        <f ca="1">IF(Mod1Bez&lt;&gt;"",OFFSET(Mod1Bez,2,0),"")</f>
        <v>39273</v>
      </c>
      <c r="BA388" s="48">
        <f ca="1">IF(Mod1Bez&lt;&gt;"",OFFSET(Mod1Bez,5,0),"")</f>
        <v>10000</v>
      </c>
    </row>
    <row r="389" spans="1:61" x14ac:dyDescent="0.2">
      <c r="AV389" s="3">
        <v>2</v>
      </c>
      <c r="AW389" s="48" t="str">
        <f>IF(Mod2Bez&lt;&gt;"",Mod2Bez,"")</f>
        <v>MP2</v>
      </c>
      <c r="AX389" s="48">
        <f ca="1">IF(Mod2Bez&lt;&gt;"",OFFSET(Mod2Bez,3,0),"")</f>
        <v>140000</v>
      </c>
      <c r="AY389" s="48">
        <f ca="1">IF(Mod2Bez&lt;&gt;"",OFFSET(Mod2Bez,4,0),"")</f>
        <v>4452</v>
      </c>
      <c r="AZ389" s="48">
        <f ca="1">IF(Mod2Bez&lt;&gt;"",OFFSET(Mod2Bez,2,0),"")</f>
        <v>144452</v>
      </c>
      <c r="BA389" s="48">
        <f ca="1">IF(Mod2Bez&lt;&gt;"",OFFSET(Mod2Bez,5,0),"")</f>
        <v>15000</v>
      </c>
    </row>
    <row r="390" spans="1:61" x14ac:dyDescent="0.2">
      <c r="AV390" s="3">
        <v>3</v>
      </c>
      <c r="AW390" s="48" t="str">
        <f>IF(Mod3Bez&lt;&gt;"",Mod3Bez,"")</f>
        <v/>
      </c>
      <c r="AX390" s="48" t="str">
        <f ca="1">IF(Mod3Bez&lt;&gt;"",OFFSET(Mod3Bez,3,0),"")</f>
        <v/>
      </c>
      <c r="AY390" s="48" t="str">
        <f ca="1">IF(Mod3Bez&lt;&gt;"",OFFSET(Mod3Bez,4,0),"")</f>
        <v/>
      </c>
      <c r="AZ390" s="48" t="str">
        <f ca="1">IF(Mod3Bez&lt;&gt;"",OFFSET(Mod3Bez,2,0),"")</f>
        <v/>
      </c>
      <c r="BA390" s="48" t="str">
        <f ca="1">IF(Mod3Bez&lt;&gt;"",OFFSET(Mod3Bez,5,0),"")</f>
        <v/>
      </c>
    </row>
    <row r="391" spans="1:61" x14ac:dyDescent="0.2">
      <c r="AV391" s="3">
        <v>4</v>
      </c>
      <c r="AW391" s="48" t="str">
        <f>IF(Mod4Bez&lt;&gt;"",Mod4Bez,"")</f>
        <v/>
      </c>
      <c r="AX391" s="48" t="str">
        <f ca="1">IF(Mod4Bez&lt;&gt;"",OFFSET(Mod4Bez,3,0),"")</f>
        <v/>
      </c>
      <c r="AY391" s="48" t="str">
        <f ca="1">IF(Mod4Bez&lt;&gt;"",OFFSET(Mod4Bez,4,0),"")</f>
        <v/>
      </c>
      <c r="AZ391" s="48" t="str">
        <f ca="1">IF(Mod4Bez&lt;&gt;"",OFFSET(Mod4Bez,2,0),"")</f>
        <v/>
      </c>
      <c r="BA391" s="48" t="str">
        <f ca="1">IF(Mod4Bez&lt;&gt;"",OFFSET(Mod4Bez,5,0),"")</f>
        <v/>
      </c>
    </row>
    <row r="392" spans="1:61" x14ac:dyDescent="0.2">
      <c r="AV392" s="3">
        <v>5</v>
      </c>
      <c r="AW392" s="48" t="str">
        <f>IF(Mod5Bez&lt;&gt;"",Mod5Bez,"")</f>
        <v/>
      </c>
      <c r="AX392" s="48" t="str">
        <f ca="1">IF(Mod5Bez&lt;&gt;"",OFFSET(Mod5Bez,3,0),"")</f>
        <v/>
      </c>
      <c r="AY392" s="48" t="str">
        <f ca="1">IF(Mod5Bez&lt;&gt;"",OFFSET(Mod5Bez,4,0),"")</f>
        <v/>
      </c>
      <c r="AZ392" s="48" t="str">
        <f ca="1">IF(Mod5Bez&lt;&gt;"",OFFSET(Mod5Bez,2,0),"")</f>
        <v/>
      </c>
      <c r="BA392" s="48" t="str">
        <f ca="1">IF(Mod5Bez&lt;&gt;"",OFFSET(Mod5Bez,5,0),"")</f>
        <v/>
      </c>
    </row>
    <row r="393" spans="1:61" ht="15" x14ac:dyDescent="0.25">
      <c r="AV393">
        <v>6</v>
      </c>
      <c r="AW393" s="48" t="str">
        <f>IF(Mod6Bez&lt;&gt;"",Mod6Bez,"")</f>
        <v/>
      </c>
      <c r="AX393" s="48" t="str">
        <f ca="1">IF(Mod6Bez&lt;&gt;"",OFFSET(Mod6Bez,3,0),"")</f>
        <v/>
      </c>
      <c r="AY393" s="48" t="str">
        <f ca="1">IF(Mod6Bez&lt;&gt;"",OFFSET(Mod6Bez,4,0),"")</f>
        <v/>
      </c>
      <c r="AZ393" s="48" t="str">
        <f ca="1">IF(Mod6Bez&lt;&gt;"",OFFSET(Mod6Bez,2,0),"")</f>
        <v/>
      </c>
      <c r="BA393" s="48" t="str">
        <f ca="1">IF(Mod6Bez&lt;&gt;"",OFFSET(Mod6Bez,5,0),"")</f>
        <v/>
      </c>
    </row>
    <row r="394" spans="1:61" x14ac:dyDescent="0.2">
      <c r="AV394" s="3">
        <v>7</v>
      </c>
      <c r="AW394" s="48" t="str">
        <f>IF(Mod7Bez&lt;&gt;"",Mod7Bez,"")</f>
        <v/>
      </c>
      <c r="AX394" s="48" t="str">
        <f ca="1">IF(Mod7Bez&lt;&gt;"",OFFSET(Mod7Bez,3,0),"")</f>
        <v/>
      </c>
      <c r="AY394" s="48" t="str">
        <f ca="1">IF(Mod7Bez&lt;&gt;"",OFFSET(Mod7Bez,4,0),"")</f>
        <v/>
      </c>
      <c r="AZ394" s="48" t="str">
        <f ca="1">IF(Mod7Bez&lt;&gt;"",OFFSET(Mod7Bez,2,0),"")</f>
        <v/>
      </c>
      <c r="BA394" s="48" t="str">
        <f ca="1">IF(Mod7Bez&lt;&gt;"",OFFSET(Mod7Bez,5,0),"")</f>
        <v/>
      </c>
    </row>
    <row r="395" spans="1:61" x14ac:dyDescent="0.2">
      <c r="AV395" s="3">
        <v>8</v>
      </c>
      <c r="AW395" s="48" t="str">
        <f>IF(Mod8Bez&lt;&gt;"",Mod8Bez,"")</f>
        <v/>
      </c>
      <c r="AX395" s="48" t="str">
        <f ca="1">IF(Mod8Bez&lt;&gt;"",OFFSET(Mod8Bez,3,0),"")</f>
        <v/>
      </c>
      <c r="AY395" s="48" t="str">
        <f ca="1">IF(Mod8Bez&lt;&gt;"",OFFSET(Mod8Bez,4,0),"")</f>
        <v/>
      </c>
      <c r="AZ395" s="48" t="str">
        <f ca="1">IF(Mod8Bez&lt;&gt;"",OFFSET(Mod8Bez,2,0),"")</f>
        <v/>
      </c>
      <c r="BA395" s="48" t="str">
        <f ca="1">IF(Mod8Bez&lt;&gt;"",OFFSET(Mod8Bez,5,0),"")</f>
        <v/>
      </c>
    </row>
    <row r="396" spans="1:61" x14ac:dyDescent="0.2">
      <c r="AV396" s="3">
        <v>9</v>
      </c>
      <c r="AW396" s="48" t="str">
        <f>IF(Mod9Bez&lt;&gt;"",Mod9Bez,"")</f>
        <v/>
      </c>
      <c r="AX396" s="48" t="str">
        <f ca="1">IF(Mod9Bez&lt;&gt;"",OFFSET(Mod9Bez,3,0),"")</f>
        <v/>
      </c>
      <c r="AY396" s="48" t="str">
        <f ca="1">IF(Mod9Bez&lt;&gt;"",OFFSET(Mod9Bez,4,0),"")</f>
        <v/>
      </c>
      <c r="AZ396" s="48" t="str">
        <f ca="1">IF(Mod9Bez&lt;&gt;"",OFFSET(Mod9Bez,2,0),"")</f>
        <v/>
      </c>
      <c r="BA396" s="48" t="str">
        <f ca="1">IF(Mod9Bez&lt;&gt;"",OFFSET(Mod9Bez,5,0),"")</f>
        <v/>
      </c>
    </row>
    <row r="398" spans="1:61" x14ac:dyDescent="0.2">
      <c r="A398" s="3" t="s">
        <v>291</v>
      </c>
      <c r="BC398" s="3" t="s">
        <v>291</v>
      </c>
    </row>
    <row r="399" spans="1:61" x14ac:dyDescent="0.2">
      <c r="BC399" s="3" t="s">
        <v>293</v>
      </c>
      <c r="BD399" s="3" t="s">
        <v>297</v>
      </c>
      <c r="BE399" s="3">
        <f ca="1">10-COUNTBLANK(BC402:BC411)</f>
        <v>3</v>
      </c>
      <c r="BG399" s="3" t="s">
        <v>296</v>
      </c>
      <c r="BH399" s="3" t="s">
        <v>297</v>
      </c>
      <c r="BI399" s="3">
        <f ca="1">10-COUNTBLANK(BG402:BG411)</f>
        <v>3</v>
      </c>
    </row>
    <row r="400" spans="1:61" x14ac:dyDescent="0.2">
      <c r="BC400" s="44" t="s">
        <v>228</v>
      </c>
      <c r="BD400" s="44" t="s">
        <v>295</v>
      </c>
      <c r="BE400" s="44" t="s">
        <v>294</v>
      </c>
      <c r="BG400" s="44" t="s">
        <v>228</v>
      </c>
      <c r="BH400" s="44" t="s">
        <v>295</v>
      </c>
      <c r="BI400" s="44" t="s">
        <v>294</v>
      </c>
    </row>
    <row r="401" spans="54:61" x14ac:dyDescent="0.2">
      <c r="BC401" s="45"/>
      <c r="BD401" s="46"/>
      <c r="BE401" s="46" t="s">
        <v>38</v>
      </c>
      <c r="BG401" s="45"/>
      <c r="BH401" s="46"/>
      <c r="BI401" s="46" t="s">
        <v>38</v>
      </c>
    </row>
    <row r="402" spans="54:61" x14ac:dyDescent="0.2">
      <c r="BB402" s="3">
        <v>1</v>
      </c>
      <c r="BC402" s="48" t="str">
        <f t="shared" ref="BC402:BC411" ca="1" si="72">IF(OFFSET(Foerderprogramm1_gesamt,0,$BB402-1)&lt;&gt;"",OFFSET(Foerderprogramm1_gesamt,0,$BB402-1,1,1),"")</f>
        <v>Programm1</v>
      </c>
      <c r="BD402" s="48"/>
      <c r="BE402" s="48" t="str">
        <f t="shared" ref="BE402:BE411" ca="1" si="73">IF(OFFSET(Foerderprogramm1_gesamt,1,$BB402-1)&lt;&gt;"",OFFSET(Foerderprogramm1_gesamt,1,$BB402-1,1,1),"")</f>
        <v>Betrag1</v>
      </c>
      <c r="BG402" s="48" t="str">
        <f t="shared" ref="BG402:BG411" ca="1" si="74">IF(OFFSET(foerderprogramm1_schritt1,0,$BB402-1)&lt;&gt;"",OFFSET(foerderprogramm1_schritt1,0,$BB402-1,1,1),"")</f>
        <v>Programm1</v>
      </c>
      <c r="BH402" s="48"/>
      <c r="BI402" s="48" t="str">
        <f t="shared" ref="BI402:BI411" ca="1" si="75">IF(OFFSET(foerderprogramm1_schritt1,1,$BB402-1)&lt;&gt;"",OFFSET(foerderprogramm1_schritt1,1,$BB402-1,1,1),"")</f>
        <v>Betrag1</v>
      </c>
    </row>
    <row r="403" spans="54:61" x14ac:dyDescent="0.2">
      <c r="BB403" s="3">
        <v>2</v>
      </c>
      <c r="BC403" s="48" t="str">
        <f t="shared" ca="1" si="72"/>
        <v>Programm2</v>
      </c>
      <c r="BD403" s="48"/>
      <c r="BE403" s="48" t="str">
        <f t="shared" ca="1" si="73"/>
        <v>Betrag2</v>
      </c>
      <c r="BG403" s="48" t="str">
        <f t="shared" ca="1" si="74"/>
        <v>Programm2</v>
      </c>
      <c r="BH403" s="48"/>
      <c r="BI403" s="48" t="str">
        <f t="shared" ca="1" si="75"/>
        <v>Betrag2</v>
      </c>
    </row>
    <row r="404" spans="54:61" x14ac:dyDescent="0.2">
      <c r="BB404" s="3">
        <v>3</v>
      </c>
      <c r="BC404" s="48" t="str">
        <f t="shared" ca="1" si="72"/>
        <v>…</v>
      </c>
      <c r="BD404" s="48"/>
      <c r="BE404" s="48" t="str">
        <f t="shared" ca="1" si="73"/>
        <v>…</v>
      </c>
      <c r="BG404" s="48" t="str">
        <f t="shared" ca="1" si="74"/>
        <v>…</v>
      </c>
      <c r="BH404" s="48"/>
      <c r="BI404" s="48" t="str">
        <f t="shared" ca="1" si="75"/>
        <v>…</v>
      </c>
    </row>
    <row r="405" spans="54:61" x14ac:dyDescent="0.2">
      <c r="BB405" s="3">
        <v>4</v>
      </c>
      <c r="BC405" s="48" t="str">
        <f t="shared" ca="1" si="72"/>
        <v/>
      </c>
      <c r="BD405" s="48"/>
      <c r="BE405" s="48" t="str">
        <f t="shared" ca="1" si="73"/>
        <v/>
      </c>
      <c r="BG405" s="48" t="str">
        <f t="shared" ca="1" si="74"/>
        <v/>
      </c>
      <c r="BH405" s="48"/>
      <c r="BI405" s="48" t="str">
        <f t="shared" ca="1" si="75"/>
        <v/>
      </c>
    </row>
    <row r="406" spans="54:61" x14ac:dyDescent="0.2">
      <c r="BB406" s="3">
        <v>5</v>
      </c>
      <c r="BC406" s="48" t="str">
        <f t="shared" ca="1" si="72"/>
        <v/>
      </c>
      <c r="BD406" s="48"/>
      <c r="BE406" s="48" t="str">
        <f t="shared" ca="1" si="73"/>
        <v/>
      </c>
      <c r="BG406" s="48" t="str">
        <f t="shared" ca="1" si="74"/>
        <v/>
      </c>
      <c r="BH406" s="48"/>
      <c r="BI406" s="48" t="str">
        <f t="shared" ca="1" si="75"/>
        <v/>
      </c>
    </row>
    <row r="407" spans="54:61" x14ac:dyDescent="0.2">
      <c r="BB407" s="3">
        <v>6</v>
      </c>
      <c r="BC407" s="48" t="str">
        <f t="shared" ca="1" si="72"/>
        <v/>
      </c>
      <c r="BD407" s="48"/>
      <c r="BE407" s="48" t="str">
        <f t="shared" ca="1" si="73"/>
        <v/>
      </c>
      <c r="BG407" s="48" t="str">
        <f t="shared" ca="1" si="74"/>
        <v/>
      </c>
      <c r="BH407" s="48"/>
      <c r="BI407" s="48" t="str">
        <f t="shared" ca="1" si="75"/>
        <v/>
      </c>
    </row>
    <row r="408" spans="54:61" x14ac:dyDescent="0.2">
      <c r="BB408" s="3">
        <v>7</v>
      </c>
      <c r="BC408" s="48" t="str">
        <f t="shared" ca="1" si="72"/>
        <v/>
      </c>
      <c r="BD408" s="48"/>
      <c r="BE408" s="48" t="str">
        <f t="shared" ca="1" si="73"/>
        <v/>
      </c>
      <c r="BG408" s="48" t="str">
        <f t="shared" ca="1" si="74"/>
        <v/>
      </c>
      <c r="BH408" s="48"/>
      <c r="BI408" s="48" t="str">
        <f t="shared" ca="1" si="75"/>
        <v/>
      </c>
    </row>
    <row r="409" spans="54:61" x14ac:dyDescent="0.2">
      <c r="BB409" s="3">
        <v>8</v>
      </c>
      <c r="BC409" s="48" t="str">
        <f t="shared" ca="1" si="72"/>
        <v/>
      </c>
      <c r="BD409" s="48"/>
      <c r="BE409" s="48" t="str">
        <f t="shared" ca="1" si="73"/>
        <v/>
      </c>
      <c r="BG409" s="48" t="str">
        <f t="shared" ca="1" si="74"/>
        <v/>
      </c>
      <c r="BH409" s="48"/>
      <c r="BI409" s="48" t="str">
        <f t="shared" ca="1" si="75"/>
        <v/>
      </c>
    </row>
    <row r="410" spans="54:61" x14ac:dyDescent="0.2">
      <c r="BB410" s="3">
        <v>9</v>
      </c>
      <c r="BC410" s="48" t="str">
        <f t="shared" ca="1" si="72"/>
        <v/>
      </c>
      <c r="BD410" s="48"/>
      <c r="BE410" s="48" t="str">
        <f t="shared" ca="1" si="73"/>
        <v/>
      </c>
      <c r="BG410" s="48" t="str">
        <f t="shared" ca="1" si="74"/>
        <v/>
      </c>
      <c r="BH410" s="48"/>
      <c r="BI410" s="48" t="str">
        <f t="shared" ca="1" si="75"/>
        <v/>
      </c>
    </row>
    <row r="411" spans="54:61" x14ac:dyDescent="0.2">
      <c r="BB411" s="3">
        <v>10</v>
      </c>
      <c r="BC411" s="48" t="str">
        <f t="shared" ca="1" si="72"/>
        <v/>
      </c>
      <c r="BD411" s="48"/>
      <c r="BE411" s="48" t="str">
        <f t="shared" ca="1" si="73"/>
        <v/>
      </c>
      <c r="BG411" s="48" t="str">
        <f t="shared" ca="1" si="74"/>
        <v/>
      </c>
      <c r="BH411" s="48"/>
      <c r="BI411" s="48" t="str">
        <f t="shared" ca="1" si="75"/>
        <v/>
      </c>
    </row>
  </sheetData>
  <mergeCells count="5">
    <mergeCell ref="AK264:AL264"/>
    <mergeCell ref="AM264:AN264"/>
    <mergeCell ref="AH264:AH265"/>
    <mergeCell ref="AI264:AI265"/>
    <mergeCell ref="AJ264:AJ26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2"/>
  <dimension ref="A1:R147"/>
  <sheetViews>
    <sheetView topLeftCell="A29" workbookViewId="0">
      <selection activeCell="F41" sqref="F41"/>
    </sheetView>
  </sheetViews>
  <sheetFormatPr baseColWidth="10" defaultRowHeight="15" x14ac:dyDescent="0.25"/>
  <sheetData>
    <row r="1" spans="1:6" x14ac:dyDescent="0.25">
      <c r="A1" t="s">
        <v>183</v>
      </c>
    </row>
    <row r="2" spans="1:6" x14ac:dyDescent="0.25">
      <c r="A2" t="s">
        <v>1</v>
      </c>
    </row>
    <row r="4" spans="1:6" x14ac:dyDescent="0.25">
      <c r="A4" t="s">
        <v>49</v>
      </c>
    </row>
    <row r="5" spans="1:6" x14ac:dyDescent="0.25">
      <c r="B5" t="s">
        <v>50</v>
      </c>
      <c r="C5" t="s">
        <v>9</v>
      </c>
      <c r="D5" t="s">
        <v>51</v>
      </c>
      <c r="E5" t="s">
        <v>52</v>
      </c>
      <c r="F5" t="s">
        <v>53</v>
      </c>
    </row>
    <row r="6" spans="1:6" x14ac:dyDescent="0.25">
      <c r="B6" t="s">
        <v>315</v>
      </c>
      <c r="C6" t="s">
        <v>204</v>
      </c>
      <c r="D6">
        <v>2.7</v>
      </c>
      <c r="E6">
        <v>149.58000000000001</v>
      </c>
      <c r="F6">
        <v>36777.08</v>
      </c>
    </row>
    <row r="7" spans="1:6" x14ac:dyDescent="0.25">
      <c r="B7" t="s">
        <v>314</v>
      </c>
      <c r="C7" t="s">
        <v>205</v>
      </c>
      <c r="D7">
        <v>5</v>
      </c>
      <c r="E7">
        <v>26.66</v>
      </c>
      <c r="F7">
        <v>11939.22</v>
      </c>
    </row>
    <row r="8" spans="1:6" x14ac:dyDescent="0.25">
      <c r="B8" t="s">
        <v>313</v>
      </c>
      <c r="C8" t="s">
        <v>206</v>
      </c>
      <c r="D8">
        <v>5</v>
      </c>
      <c r="E8">
        <v>5.13</v>
      </c>
      <c r="F8">
        <v>2297.38</v>
      </c>
    </row>
    <row r="9" spans="1:6" x14ac:dyDescent="0.25">
      <c r="B9" t="s">
        <v>316</v>
      </c>
      <c r="C9" t="s">
        <v>207</v>
      </c>
      <c r="D9">
        <v>3.5</v>
      </c>
      <c r="E9">
        <v>1.72</v>
      </c>
      <c r="F9">
        <v>543.72</v>
      </c>
    </row>
    <row r="10" spans="1:6" x14ac:dyDescent="0.25">
      <c r="B10" t="s">
        <v>317</v>
      </c>
      <c r="C10" t="s">
        <v>208</v>
      </c>
      <c r="D10">
        <v>1.53</v>
      </c>
      <c r="E10">
        <v>28.09</v>
      </c>
      <c r="F10">
        <v>4020.55</v>
      </c>
    </row>
    <row r="11" spans="1:6" x14ac:dyDescent="0.25">
      <c r="B11" t="s">
        <v>318</v>
      </c>
      <c r="C11" t="s">
        <v>209</v>
      </c>
      <c r="D11">
        <v>1.77</v>
      </c>
      <c r="E11">
        <v>100.24</v>
      </c>
      <c r="F11">
        <v>16459.95</v>
      </c>
    </row>
    <row r="12" spans="1:6" x14ac:dyDescent="0.25">
      <c r="B12" t="s">
        <v>319</v>
      </c>
      <c r="C12" t="s">
        <v>210</v>
      </c>
      <c r="D12">
        <v>1.3</v>
      </c>
      <c r="E12">
        <v>22.89</v>
      </c>
      <c r="F12">
        <v>2813.97</v>
      </c>
    </row>
    <row r="13" spans="1:6" x14ac:dyDescent="0.25">
      <c r="B13" t="s">
        <v>320</v>
      </c>
      <c r="C13" t="s">
        <v>211</v>
      </c>
      <c r="D13">
        <v>1.77</v>
      </c>
      <c r="E13">
        <v>43.64</v>
      </c>
      <c r="F13">
        <v>7165.92</v>
      </c>
    </row>
    <row r="14" spans="1:6" x14ac:dyDescent="0.25">
      <c r="B14" t="s">
        <v>321</v>
      </c>
      <c r="C14" t="s">
        <v>212</v>
      </c>
      <c r="D14">
        <v>1.26</v>
      </c>
      <c r="E14">
        <v>24.68</v>
      </c>
      <c r="F14">
        <v>2947.34</v>
      </c>
    </row>
    <row r="15" spans="1:6" x14ac:dyDescent="0.25">
      <c r="B15" t="s">
        <v>217</v>
      </c>
      <c r="C15" t="s">
        <v>213</v>
      </c>
      <c r="D15">
        <v>1.53</v>
      </c>
      <c r="E15">
        <v>21.5</v>
      </c>
      <c r="F15">
        <v>3077.31</v>
      </c>
    </row>
    <row r="16" spans="1:6" x14ac:dyDescent="0.25">
      <c r="B16" t="s">
        <v>309</v>
      </c>
      <c r="C16" t="s">
        <v>214</v>
      </c>
      <c r="D16">
        <v>1.77</v>
      </c>
      <c r="E16">
        <v>80.97</v>
      </c>
      <c r="F16">
        <v>13295.71</v>
      </c>
    </row>
    <row r="17" spans="2:6" x14ac:dyDescent="0.25">
      <c r="B17" t="s">
        <v>310</v>
      </c>
      <c r="C17" t="s">
        <v>215</v>
      </c>
      <c r="D17">
        <v>1.3</v>
      </c>
      <c r="E17">
        <v>21.5</v>
      </c>
      <c r="F17">
        <v>2643.09</v>
      </c>
    </row>
    <row r="18" spans="2:6" x14ac:dyDescent="0.25">
      <c r="B18" t="s">
        <v>311</v>
      </c>
      <c r="C18" t="s">
        <v>216</v>
      </c>
      <c r="D18">
        <v>1.77</v>
      </c>
      <c r="E18">
        <v>15</v>
      </c>
      <c r="F18">
        <v>2463.08</v>
      </c>
    </row>
    <row r="19" spans="2:6" x14ac:dyDescent="0.25">
      <c r="B19" t="s">
        <v>312</v>
      </c>
      <c r="C19" t="s">
        <v>218</v>
      </c>
      <c r="D19">
        <v>1.33</v>
      </c>
      <c r="E19">
        <v>3.93</v>
      </c>
      <c r="F19">
        <v>271.42</v>
      </c>
    </row>
    <row r="37" spans="1:18" x14ac:dyDescent="0.25">
      <c r="A37" t="s">
        <v>111</v>
      </c>
    </row>
    <row r="38" spans="1:18" x14ac:dyDescent="0.25">
      <c r="F38" t="s">
        <v>60</v>
      </c>
      <c r="G38" t="s">
        <v>61</v>
      </c>
      <c r="H38" t="s">
        <v>62</v>
      </c>
      <c r="I38" t="s">
        <v>63</v>
      </c>
      <c r="J38" t="s">
        <v>64</v>
      </c>
      <c r="K38" t="s">
        <v>65</v>
      </c>
      <c r="L38" t="s">
        <v>66</v>
      </c>
      <c r="M38" t="s">
        <v>67</v>
      </c>
      <c r="N38" t="s">
        <v>68</v>
      </c>
      <c r="O38" t="s">
        <v>69</v>
      </c>
      <c r="P38" t="s">
        <v>70</v>
      </c>
      <c r="Q38" t="s">
        <v>71</v>
      </c>
      <c r="R38" t="s">
        <v>72</v>
      </c>
    </row>
    <row r="39" spans="1:18" x14ac:dyDescent="0.25">
      <c r="B39" t="s">
        <v>112</v>
      </c>
      <c r="F39">
        <v>188430.11300000001</v>
      </c>
      <c r="G39">
        <v>28278.09</v>
      </c>
      <c r="H39">
        <v>24435.881000000001</v>
      </c>
      <c r="I39">
        <v>23177.405999999999</v>
      </c>
      <c r="J39">
        <v>16308.196</v>
      </c>
      <c r="K39">
        <v>9522.4449999999997</v>
      </c>
      <c r="L39">
        <v>5245.1689999999999</v>
      </c>
      <c r="M39">
        <v>1667.595</v>
      </c>
      <c r="N39">
        <v>2328.5050000000001</v>
      </c>
      <c r="O39">
        <v>8930.8449999999993</v>
      </c>
      <c r="P39">
        <v>16532.09</v>
      </c>
      <c r="Q39">
        <v>23484.57</v>
      </c>
      <c r="R39">
        <v>28519.32</v>
      </c>
    </row>
    <row r="40" spans="1:18" x14ac:dyDescent="0.25">
      <c r="B40" t="s">
        <v>113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</row>
    <row r="41" spans="1:18" x14ac:dyDescent="0.25">
      <c r="C41" t="s">
        <v>86</v>
      </c>
      <c r="F41">
        <v>15</v>
      </c>
      <c r="G41">
        <v>21938.434000000001</v>
      </c>
      <c r="H41">
        <v>18876.734</v>
      </c>
      <c r="I41">
        <v>17666.213</v>
      </c>
      <c r="J41">
        <v>12068.001</v>
      </c>
      <c r="K41">
        <v>6812.4610000000002</v>
      </c>
      <c r="L41">
        <v>3687.4459999999999</v>
      </c>
      <c r="M41">
        <v>1154.654</v>
      </c>
      <c r="N41">
        <v>1616.5160000000001</v>
      </c>
      <c r="O41">
        <v>6369.2209999999995</v>
      </c>
      <c r="P41">
        <v>12123.871999999999</v>
      </c>
      <c r="Q41">
        <v>17766.778999999999</v>
      </c>
      <c r="R41">
        <v>22053.898000000001</v>
      </c>
    </row>
    <row r="42" spans="1:18" x14ac:dyDescent="0.25">
      <c r="D42" t="s">
        <v>73</v>
      </c>
      <c r="F42">
        <v>122704.609</v>
      </c>
      <c r="G42">
        <v>18939.469000000001</v>
      </c>
      <c r="H42">
        <v>16296.303</v>
      </c>
      <c r="I42">
        <v>15251.258</v>
      </c>
      <c r="J42">
        <v>10418.316000000001</v>
      </c>
      <c r="K42">
        <v>5881.2039999999997</v>
      </c>
      <c r="L42">
        <v>3183.375</v>
      </c>
      <c r="M42">
        <v>996.81399999999996</v>
      </c>
      <c r="N42">
        <v>1395.54</v>
      </c>
      <c r="O42">
        <v>5498.5540000000001</v>
      </c>
      <c r="P42">
        <v>10466.549999999999</v>
      </c>
      <c r="Q42">
        <v>15338.075999999999</v>
      </c>
      <c r="R42">
        <v>19039.150000000001</v>
      </c>
    </row>
    <row r="43" spans="1:18" x14ac:dyDescent="0.25">
      <c r="D43" t="s">
        <v>74</v>
      </c>
      <c r="F43">
        <v>1120.837</v>
      </c>
      <c r="G43">
        <v>173.001</v>
      </c>
      <c r="H43">
        <v>148.858</v>
      </c>
      <c r="I43">
        <v>139.31200000000001</v>
      </c>
      <c r="J43">
        <v>95.165000000000006</v>
      </c>
      <c r="K43">
        <v>53.720999999999997</v>
      </c>
      <c r="L43">
        <v>29.077999999999999</v>
      </c>
      <c r="M43">
        <v>9.1050000000000004</v>
      </c>
      <c r="N43">
        <v>12.747</v>
      </c>
      <c r="O43">
        <v>50.225999999999999</v>
      </c>
      <c r="P43">
        <v>95.605999999999995</v>
      </c>
      <c r="Q43">
        <v>140.10499999999999</v>
      </c>
      <c r="R43">
        <v>173.91200000000001</v>
      </c>
    </row>
    <row r="44" spans="1:18" x14ac:dyDescent="0.25">
      <c r="D44" t="s">
        <v>75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</row>
    <row r="45" spans="1:18" x14ac:dyDescent="0.25">
      <c r="D45" t="s">
        <v>76</v>
      </c>
      <c r="F45">
        <v>18308.781999999999</v>
      </c>
      <c r="G45">
        <v>2825.9630000000002</v>
      </c>
      <c r="H45">
        <v>2431.5749999999998</v>
      </c>
      <c r="I45">
        <v>2275.643</v>
      </c>
      <c r="J45">
        <v>1554.519</v>
      </c>
      <c r="K45">
        <v>877.53599999999994</v>
      </c>
      <c r="L45">
        <v>474.99200000000002</v>
      </c>
      <c r="M45">
        <v>148.73500000000001</v>
      </c>
      <c r="N45">
        <v>208.22900000000001</v>
      </c>
      <c r="O45">
        <v>820.44100000000003</v>
      </c>
      <c r="P45">
        <v>1561.7159999999999</v>
      </c>
      <c r="Q45">
        <v>2288.598</v>
      </c>
      <c r="R45">
        <v>2840.8359999999998</v>
      </c>
    </row>
    <row r="46" spans="1:18" x14ac:dyDescent="0.25">
      <c r="C46" t="s">
        <v>87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</row>
    <row r="47" spans="1:18" x14ac:dyDescent="0.25">
      <c r="D47" t="s">
        <v>73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</row>
    <row r="48" spans="1:18" x14ac:dyDescent="0.25">
      <c r="D48" t="s">
        <v>74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</row>
    <row r="49" spans="3:18" x14ac:dyDescent="0.25">
      <c r="D49" t="s">
        <v>75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</row>
    <row r="50" spans="3:18" x14ac:dyDescent="0.25">
      <c r="D50" t="s">
        <v>76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</row>
    <row r="51" spans="3:18" x14ac:dyDescent="0.25">
      <c r="C51" t="s">
        <v>88</v>
      </c>
      <c r="F51">
        <v>1</v>
      </c>
      <c r="G51">
        <v>6003.3069999999998</v>
      </c>
      <c r="H51">
        <v>5326.5069999999996</v>
      </c>
      <c r="I51">
        <v>5453.7359999999999</v>
      </c>
      <c r="J51">
        <v>4240.1949999999997</v>
      </c>
      <c r="K51">
        <v>2709.9839999999999</v>
      </c>
      <c r="L51">
        <v>1557.723</v>
      </c>
      <c r="M51">
        <v>512.94100000000003</v>
      </c>
      <c r="N51">
        <v>711.98900000000003</v>
      </c>
      <c r="O51">
        <v>2545.7370000000001</v>
      </c>
      <c r="P51">
        <v>4294.2969999999996</v>
      </c>
      <c r="Q51">
        <v>5383.7510000000002</v>
      </c>
      <c r="R51">
        <v>6014.0020000000004</v>
      </c>
    </row>
    <row r="52" spans="3:18" x14ac:dyDescent="0.25">
      <c r="D52" t="s">
        <v>77</v>
      </c>
      <c r="F52">
        <v>10605.575999999999</v>
      </c>
      <c r="G52">
        <v>1636.972</v>
      </c>
      <c r="H52">
        <v>1408.518</v>
      </c>
      <c r="I52">
        <v>1318.193</v>
      </c>
      <c r="J52">
        <v>900.47299999999996</v>
      </c>
      <c r="K52">
        <v>508.32299999999998</v>
      </c>
      <c r="L52">
        <v>275.14499999999998</v>
      </c>
      <c r="M52">
        <v>86.156000000000006</v>
      </c>
      <c r="N52">
        <v>120.619</v>
      </c>
      <c r="O52">
        <v>475.25</v>
      </c>
      <c r="P52">
        <v>904.64200000000005</v>
      </c>
      <c r="Q52">
        <v>1325.6969999999999</v>
      </c>
      <c r="R52">
        <v>1645.587</v>
      </c>
    </row>
    <row r="53" spans="3:18" x14ac:dyDescent="0.25">
      <c r="D53" t="s">
        <v>78</v>
      </c>
      <c r="F53">
        <v>34148.595000000001</v>
      </c>
      <c r="G53">
        <v>4366.335</v>
      </c>
      <c r="H53">
        <v>3917.989</v>
      </c>
      <c r="I53">
        <v>4135.5429999999997</v>
      </c>
      <c r="J53">
        <v>3339.7220000000002</v>
      </c>
      <c r="K53">
        <v>2201.6619999999998</v>
      </c>
      <c r="L53">
        <v>1282.578</v>
      </c>
      <c r="M53">
        <v>426.78500000000003</v>
      </c>
      <c r="N53">
        <v>591.37</v>
      </c>
      <c r="O53">
        <v>2070.4879999999998</v>
      </c>
      <c r="P53">
        <v>3389.6550000000002</v>
      </c>
      <c r="Q53">
        <v>4058.0540000000001</v>
      </c>
      <c r="R53">
        <v>4368.415</v>
      </c>
    </row>
    <row r="54" spans="3:18" x14ac:dyDescent="0.25">
      <c r="D54" t="s">
        <v>79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</row>
    <row r="55" spans="3:18" x14ac:dyDescent="0.25">
      <c r="D55" t="s">
        <v>80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</row>
    <row r="56" spans="3:18" x14ac:dyDescent="0.25">
      <c r="C56" t="s">
        <v>89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</row>
    <row r="57" spans="3:18" x14ac:dyDescent="0.25">
      <c r="D57" t="s">
        <v>77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</row>
    <row r="58" spans="3:18" x14ac:dyDescent="0.25">
      <c r="D58" t="s">
        <v>78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</row>
    <row r="59" spans="3:18" x14ac:dyDescent="0.25">
      <c r="D59" t="s">
        <v>79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</row>
    <row r="60" spans="3:18" x14ac:dyDescent="0.25">
      <c r="D60" t="s">
        <v>80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</row>
    <row r="61" spans="3:18" x14ac:dyDescent="0.25">
      <c r="C61" t="s">
        <v>81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</row>
    <row r="62" spans="3:18" x14ac:dyDescent="0.25">
      <c r="D62" t="s">
        <v>82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</row>
    <row r="63" spans="3:18" x14ac:dyDescent="0.25">
      <c r="D63" t="s">
        <v>83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</row>
    <row r="64" spans="3:18" x14ac:dyDescent="0.25">
      <c r="D64" t="s">
        <v>93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2:18" x14ac:dyDescent="0.25">
      <c r="C65" t="s">
        <v>84</v>
      </c>
      <c r="F65">
        <v>1541.712</v>
      </c>
      <c r="G65">
        <v>336.34899999999999</v>
      </c>
      <c r="H65">
        <v>232.63900000000001</v>
      </c>
      <c r="I65">
        <v>57.457000000000001</v>
      </c>
      <c r="J65">
        <v>0</v>
      </c>
      <c r="K65">
        <v>0</v>
      </c>
      <c r="L65">
        <v>0</v>
      </c>
      <c r="M65">
        <v>0</v>
      </c>
      <c r="N65">
        <v>0</v>
      </c>
      <c r="O65">
        <v>15.887</v>
      </c>
      <c r="P65">
        <v>113.92100000000001</v>
      </c>
      <c r="Q65">
        <v>334.03899999999999</v>
      </c>
      <c r="R65">
        <v>451.42</v>
      </c>
    </row>
    <row r="66" spans="2:18" x14ac:dyDescent="0.25">
      <c r="D66" t="s">
        <v>85</v>
      </c>
      <c r="F66">
        <v>1541.712</v>
      </c>
      <c r="G66">
        <v>336.34899999999999</v>
      </c>
      <c r="H66">
        <v>232.63900000000001</v>
      </c>
      <c r="I66">
        <v>57.457000000000001</v>
      </c>
      <c r="J66">
        <v>0</v>
      </c>
      <c r="K66">
        <v>0</v>
      </c>
      <c r="L66">
        <v>0</v>
      </c>
      <c r="M66">
        <v>0</v>
      </c>
      <c r="N66">
        <v>0</v>
      </c>
      <c r="O66">
        <v>15.887</v>
      </c>
      <c r="P66">
        <v>113.92100000000001</v>
      </c>
      <c r="Q66">
        <v>334.03899999999999</v>
      </c>
      <c r="R66">
        <v>451.42</v>
      </c>
    </row>
    <row r="67" spans="2:18" x14ac:dyDescent="0.25">
      <c r="B67" t="s">
        <v>114</v>
      </c>
      <c r="F67">
        <v>115048.59299999999</v>
      </c>
      <c r="G67">
        <v>10304.4</v>
      </c>
      <c r="H67">
        <v>8947.1530000000002</v>
      </c>
      <c r="I67">
        <v>10696.82</v>
      </c>
      <c r="J67">
        <v>11151.297</v>
      </c>
      <c r="K67">
        <v>10183.828</v>
      </c>
      <c r="L67">
        <v>9397.018</v>
      </c>
      <c r="M67">
        <v>9170.1290000000008</v>
      </c>
      <c r="N67">
        <v>8827.7659999999996</v>
      </c>
      <c r="O67">
        <v>8577.0529999999999</v>
      </c>
      <c r="P67">
        <v>9440.0310000000009</v>
      </c>
      <c r="Q67">
        <v>8767.9840000000004</v>
      </c>
      <c r="R67">
        <v>9585.1129999999994</v>
      </c>
    </row>
    <row r="68" spans="2:18" x14ac:dyDescent="0.25">
      <c r="B68" t="s">
        <v>115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</row>
    <row r="69" spans="2:18" x14ac:dyDescent="0.25">
      <c r="C69" t="s">
        <v>86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</row>
    <row r="70" spans="2:18" x14ac:dyDescent="0.25">
      <c r="D70" t="s">
        <v>73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</row>
    <row r="71" spans="2:18" x14ac:dyDescent="0.25">
      <c r="D71" t="s">
        <v>74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</row>
    <row r="72" spans="2:18" x14ac:dyDescent="0.25">
      <c r="D72" t="s">
        <v>75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</row>
    <row r="73" spans="2:18" x14ac:dyDescent="0.25">
      <c r="D73" t="s">
        <v>76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</row>
    <row r="74" spans="2:18" x14ac:dyDescent="0.25">
      <c r="C74" t="s">
        <v>87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</row>
    <row r="75" spans="2:18" x14ac:dyDescent="0.25">
      <c r="D75" t="s">
        <v>73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</row>
    <row r="76" spans="2:18" x14ac:dyDescent="0.25">
      <c r="D76" t="s">
        <v>74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</row>
    <row r="77" spans="2:18" x14ac:dyDescent="0.25">
      <c r="D77" t="s">
        <v>75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</row>
    <row r="78" spans="2:18" x14ac:dyDescent="0.25">
      <c r="D78" t="s">
        <v>76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</row>
    <row r="79" spans="2:18" x14ac:dyDescent="0.25">
      <c r="C79" t="s">
        <v>88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</row>
    <row r="80" spans="2:18" x14ac:dyDescent="0.25">
      <c r="D80" t="s">
        <v>77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</row>
    <row r="81" spans="3:18" x14ac:dyDescent="0.25">
      <c r="D81" t="s">
        <v>78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</row>
    <row r="82" spans="3:18" x14ac:dyDescent="0.25">
      <c r="D82" t="s">
        <v>79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</row>
    <row r="83" spans="3:18" x14ac:dyDescent="0.25">
      <c r="D83" t="s">
        <v>80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</row>
    <row r="84" spans="3:18" x14ac:dyDescent="0.25">
      <c r="C84" t="s">
        <v>89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</row>
    <row r="85" spans="3:18" x14ac:dyDescent="0.25">
      <c r="D85" t="s">
        <v>77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</row>
    <row r="86" spans="3:18" x14ac:dyDescent="0.25">
      <c r="D86" t="s">
        <v>78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</row>
    <row r="87" spans="3:18" x14ac:dyDescent="0.25">
      <c r="D87" t="s">
        <v>79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</row>
    <row r="88" spans="3:18" x14ac:dyDescent="0.25">
      <c r="D88" t="s">
        <v>80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</row>
    <row r="89" spans="3:18" x14ac:dyDescent="0.25">
      <c r="C89" t="s">
        <v>90</v>
      </c>
      <c r="F89">
        <v>68433.226999999999</v>
      </c>
      <c r="G89">
        <v>8439.8469999999998</v>
      </c>
      <c r="H89">
        <v>7424.2709999999997</v>
      </c>
      <c r="I89">
        <v>7114.5360000000001</v>
      </c>
      <c r="J89">
        <v>5258.2780000000002</v>
      </c>
      <c r="K89">
        <v>4003.7089999999998</v>
      </c>
      <c r="L89">
        <v>3366.607</v>
      </c>
      <c r="M89">
        <v>3429.1610000000001</v>
      </c>
      <c r="N89">
        <v>3429.1610000000001</v>
      </c>
      <c r="O89">
        <v>4061.2649999999999</v>
      </c>
      <c r="P89">
        <v>5801.5039999999999</v>
      </c>
      <c r="Q89">
        <v>7462.53</v>
      </c>
      <c r="R89">
        <v>8642.3559999999998</v>
      </c>
    </row>
    <row r="90" spans="3:18" x14ac:dyDescent="0.25">
      <c r="D90" t="s">
        <v>91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</row>
    <row r="91" spans="3:18" x14ac:dyDescent="0.25">
      <c r="D91" t="s">
        <v>153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</row>
    <row r="92" spans="3:18" x14ac:dyDescent="0.25">
      <c r="D92" t="s">
        <v>83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</row>
    <row r="93" spans="3:18" x14ac:dyDescent="0.25">
      <c r="D93" t="s">
        <v>92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</row>
    <row r="94" spans="3:18" x14ac:dyDescent="0.25">
      <c r="D94" t="s">
        <v>93</v>
      </c>
      <c r="F94">
        <v>28057.62</v>
      </c>
      <c r="G94">
        <v>5010.6859999999997</v>
      </c>
      <c r="H94">
        <v>4326.9639999999999</v>
      </c>
      <c r="I94">
        <v>3685.375</v>
      </c>
      <c r="J94">
        <v>1939.7349999999999</v>
      </c>
      <c r="K94">
        <v>574.548</v>
      </c>
      <c r="L94">
        <v>48.064</v>
      </c>
      <c r="M94">
        <v>0</v>
      </c>
      <c r="N94">
        <v>0</v>
      </c>
      <c r="O94">
        <v>742.72199999999998</v>
      </c>
      <c r="P94">
        <v>2372.3440000000001</v>
      </c>
      <c r="Q94">
        <v>4143.9870000000001</v>
      </c>
      <c r="R94">
        <v>5213.1949999999997</v>
      </c>
    </row>
    <row r="95" spans="3:18" x14ac:dyDescent="0.25">
      <c r="C95" t="s">
        <v>94</v>
      </c>
      <c r="F95">
        <v>46602.266000000003</v>
      </c>
      <c r="G95">
        <v>1862.395</v>
      </c>
      <c r="H95">
        <v>1520.9960000000001</v>
      </c>
      <c r="I95">
        <v>3580.46</v>
      </c>
      <c r="J95">
        <v>5892.14</v>
      </c>
      <c r="K95">
        <v>6180.0010000000002</v>
      </c>
      <c r="L95">
        <v>6030.41</v>
      </c>
      <c r="M95">
        <v>5740.9679999999998</v>
      </c>
      <c r="N95">
        <v>5398.6040000000003</v>
      </c>
      <c r="O95">
        <v>4515.09</v>
      </c>
      <c r="P95">
        <v>3637.0410000000002</v>
      </c>
      <c r="Q95">
        <v>1303.569</v>
      </c>
      <c r="R95">
        <v>940.59100000000001</v>
      </c>
    </row>
    <row r="96" spans="3:18" x14ac:dyDescent="0.25">
      <c r="D96" t="s">
        <v>95</v>
      </c>
      <c r="F96">
        <v>41624.260999999999</v>
      </c>
      <c r="G96">
        <v>1818.61</v>
      </c>
      <c r="H96">
        <v>1515.347</v>
      </c>
      <c r="I96">
        <v>3354.5529999999999</v>
      </c>
      <c r="J96">
        <v>5131.9120000000003</v>
      </c>
      <c r="K96">
        <v>5283.2269999999999</v>
      </c>
      <c r="L96">
        <v>5083.8770000000004</v>
      </c>
      <c r="M96">
        <v>4908.2719999999999</v>
      </c>
      <c r="N96">
        <v>4735.9179999999997</v>
      </c>
      <c r="O96">
        <v>4119.0330000000004</v>
      </c>
      <c r="P96">
        <v>3429.3519999999999</v>
      </c>
      <c r="Q96">
        <v>1303.569</v>
      </c>
      <c r="R96">
        <v>940.59100000000001</v>
      </c>
    </row>
    <row r="97" spans="2:18" x14ac:dyDescent="0.25">
      <c r="D97" t="s">
        <v>96</v>
      </c>
      <c r="F97">
        <v>4978.0050000000001</v>
      </c>
      <c r="G97">
        <v>43.784999999999997</v>
      </c>
      <c r="H97">
        <v>5.65</v>
      </c>
      <c r="I97">
        <v>225.90700000000001</v>
      </c>
      <c r="J97">
        <v>760.22900000000004</v>
      </c>
      <c r="K97">
        <v>896.774</v>
      </c>
      <c r="L97">
        <v>946.53300000000002</v>
      </c>
      <c r="M97">
        <v>832.69500000000005</v>
      </c>
      <c r="N97">
        <v>662.68700000000001</v>
      </c>
      <c r="O97">
        <v>396.05799999999999</v>
      </c>
      <c r="P97">
        <v>207.68899999999999</v>
      </c>
      <c r="Q97">
        <v>0</v>
      </c>
      <c r="R97">
        <v>0</v>
      </c>
    </row>
    <row r="98" spans="2:18" x14ac:dyDescent="0.25">
      <c r="B98" t="s">
        <v>97</v>
      </c>
    </row>
    <row r="99" spans="2:18" x14ac:dyDescent="0.25">
      <c r="C99" t="s">
        <v>98</v>
      </c>
      <c r="F99">
        <v>95330.8</v>
      </c>
      <c r="G99">
        <v>17994.386999999999</v>
      </c>
      <c r="H99">
        <v>15507.147000000001</v>
      </c>
      <c r="I99">
        <v>12550.958000000001</v>
      </c>
      <c r="J99">
        <v>5594.48</v>
      </c>
      <c r="K99">
        <v>1163.223</v>
      </c>
      <c r="L99">
        <v>84.992999999999995</v>
      </c>
      <c r="M99">
        <v>0</v>
      </c>
      <c r="N99">
        <v>0</v>
      </c>
      <c r="O99">
        <v>1490.4760000000001</v>
      </c>
      <c r="P99">
        <v>7261.723</v>
      </c>
      <c r="Q99">
        <v>14736.531999999999</v>
      </c>
      <c r="R99">
        <v>18946.881000000001</v>
      </c>
    </row>
    <row r="100" spans="2:18" x14ac:dyDescent="0.25">
      <c r="C100" t="s">
        <v>99</v>
      </c>
      <c r="F100">
        <v>10969.628000000001</v>
      </c>
      <c r="G100">
        <v>1863.3340000000001</v>
      </c>
      <c r="H100">
        <v>1683.011</v>
      </c>
      <c r="I100">
        <v>1863.3340000000001</v>
      </c>
      <c r="J100">
        <v>1803.2270000000001</v>
      </c>
      <c r="K100">
        <v>1863.3340000000001</v>
      </c>
      <c r="L100">
        <v>1803.2270000000001</v>
      </c>
      <c r="M100">
        <v>1863.3340000000001</v>
      </c>
      <c r="N100">
        <v>1863.3340000000001</v>
      </c>
      <c r="O100">
        <v>1803.2270000000001</v>
      </c>
      <c r="P100">
        <v>1863.3340000000001</v>
      </c>
      <c r="Q100">
        <v>1803.2270000000001</v>
      </c>
      <c r="R100">
        <v>1863.3340000000001</v>
      </c>
    </row>
    <row r="101" spans="2:18" x14ac:dyDescent="0.25">
      <c r="C101" t="s">
        <v>100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</row>
    <row r="102" spans="2:18" x14ac:dyDescent="0.25">
      <c r="C102" t="s">
        <v>101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</row>
    <row r="103" spans="2:18" x14ac:dyDescent="0.25">
      <c r="C103" t="s">
        <v>92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</row>
    <row r="104" spans="2:18" x14ac:dyDescent="0.25">
      <c r="B104" t="s">
        <v>102</v>
      </c>
    </row>
    <row r="105" spans="2:18" x14ac:dyDescent="0.25">
      <c r="C105" t="s">
        <v>98</v>
      </c>
      <c r="F105">
        <v>151345.81700000001</v>
      </c>
      <c r="G105">
        <v>27319.405999999999</v>
      </c>
      <c r="H105">
        <v>23710.471000000001</v>
      </c>
      <c r="I105">
        <v>19907.373</v>
      </c>
      <c r="J105">
        <v>9845.3320000000003</v>
      </c>
      <c r="K105">
        <v>2618.9560000000001</v>
      </c>
      <c r="L105">
        <v>222.298</v>
      </c>
      <c r="M105">
        <v>0</v>
      </c>
      <c r="N105">
        <v>0</v>
      </c>
      <c r="O105">
        <v>3396.482</v>
      </c>
      <c r="P105">
        <v>12653.674999999999</v>
      </c>
      <c r="Q105">
        <v>23003.879000000001</v>
      </c>
      <c r="R105">
        <v>28667.945</v>
      </c>
    </row>
    <row r="106" spans="2:18" x14ac:dyDescent="0.25">
      <c r="D106" t="s">
        <v>116</v>
      </c>
      <c r="F106">
        <v>23406.240000000002</v>
      </c>
      <c r="G106">
        <v>3555.9839999999999</v>
      </c>
      <c r="H106">
        <v>3216.8420000000001</v>
      </c>
      <c r="I106">
        <v>3080.0790000000002</v>
      </c>
      <c r="J106">
        <v>1944.9680000000001</v>
      </c>
      <c r="K106">
        <v>740.26499999999999</v>
      </c>
      <c r="L106">
        <v>84.992999999999995</v>
      </c>
      <c r="M106">
        <v>0</v>
      </c>
      <c r="N106">
        <v>0</v>
      </c>
      <c r="O106">
        <v>981.80799999999999</v>
      </c>
      <c r="P106">
        <v>2596.7289999999998</v>
      </c>
      <c r="Q106">
        <v>3479.9630000000002</v>
      </c>
      <c r="R106">
        <v>3724.6089999999999</v>
      </c>
    </row>
    <row r="107" spans="2:18" x14ac:dyDescent="0.25">
      <c r="D107" t="s">
        <v>117</v>
      </c>
      <c r="F107">
        <v>32608.775000000001</v>
      </c>
      <c r="G107">
        <v>5769.0349999999999</v>
      </c>
      <c r="H107">
        <v>4986.482</v>
      </c>
      <c r="I107">
        <v>4276.335</v>
      </c>
      <c r="J107">
        <v>2305.884</v>
      </c>
      <c r="K107">
        <v>715.46900000000005</v>
      </c>
      <c r="L107">
        <v>52.313000000000002</v>
      </c>
      <c r="M107">
        <v>0</v>
      </c>
      <c r="N107">
        <v>0</v>
      </c>
      <c r="O107">
        <v>924.19799999999998</v>
      </c>
      <c r="P107">
        <v>2795.2220000000002</v>
      </c>
      <c r="Q107">
        <v>4787.3829999999998</v>
      </c>
      <c r="R107">
        <v>5996.4539999999997</v>
      </c>
    </row>
    <row r="108" spans="2:18" x14ac:dyDescent="0.25">
      <c r="D108" t="s">
        <v>118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</row>
    <row r="109" spans="2:18" x14ac:dyDescent="0.25">
      <c r="C109" t="s">
        <v>99</v>
      </c>
      <c r="F109">
        <v>10969.628000000001</v>
      </c>
      <c r="G109">
        <v>1863.3340000000001</v>
      </c>
      <c r="H109">
        <v>1683.011</v>
      </c>
      <c r="I109">
        <v>1863.3340000000001</v>
      </c>
      <c r="J109">
        <v>1803.2270000000001</v>
      </c>
      <c r="K109">
        <v>1863.3340000000001</v>
      </c>
      <c r="L109">
        <v>1803.2270000000001</v>
      </c>
      <c r="M109">
        <v>1863.3340000000001</v>
      </c>
      <c r="N109">
        <v>1863.3340000000001</v>
      </c>
      <c r="O109">
        <v>1803.2270000000001</v>
      </c>
      <c r="P109">
        <v>1863.3340000000001</v>
      </c>
      <c r="Q109">
        <v>1803.2270000000001</v>
      </c>
      <c r="R109">
        <v>1863.3340000000001</v>
      </c>
    </row>
    <row r="110" spans="2:18" x14ac:dyDescent="0.25">
      <c r="D110" t="s">
        <v>117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</row>
    <row r="111" spans="2:18" x14ac:dyDescent="0.25">
      <c r="D111" t="s">
        <v>118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</row>
    <row r="112" spans="2:18" x14ac:dyDescent="0.25">
      <c r="C112" t="s">
        <v>100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</row>
    <row r="113" spans="2:18" x14ac:dyDescent="0.25">
      <c r="D113" t="s">
        <v>116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</row>
    <row r="114" spans="2:18" x14ac:dyDescent="0.25">
      <c r="D114" t="s">
        <v>117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</row>
    <row r="115" spans="2:18" x14ac:dyDescent="0.25">
      <c r="D115" t="s">
        <v>118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</row>
    <row r="116" spans="2:18" x14ac:dyDescent="0.25">
      <c r="C116" t="s">
        <v>101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</row>
    <row r="117" spans="2:18" x14ac:dyDescent="0.25">
      <c r="B117" t="s">
        <v>106</v>
      </c>
    </row>
    <row r="118" spans="2:18" x14ac:dyDescent="0.25">
      <c r="C118" t="s">
        <v>98</v>
      </c>
      <c r="F118">
        <v>151345.81700000001</v>
      </c>
      <c r="G118">
        <v>27319.405999999999</v>
      </c>
      <c r="H118">
        <v>23710.471000000001</v>
      </c>
      <c r="I118">
        <v>19907.373</v>
      </c>
      <c r="J118">
        <v>9845.3320000000003</v>
      </c>
      <c r="K118">
        <v>2618.9560000000001</v>
      </c>
      <c r="L118">
        <v>222.298</v>
      </c>
      <c r="M118">
        <v>0</v>
      </c>
      <c r="N118">
        <v>0</v>
      </c>
      <c r="O118">
        <v>3396.482</v>
      </c>
      <c r="P118">
        <v>12653.674999999999</v>
      </c>
      <c r="Q118">
        <v>23003.879000000001</v>
      </c>
      <c r="R118">
        <v>28667.945</v>
      </c>
    </row>
    <row r="119" spans="2:18" x14ac:dyDescent="0.25">
      <c r="D119" t="s">
        <v>107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</row>
    <row r="120" spans="2:18" x14ac:dyDescent="0.25">
      <c r="C120" t="s">
        <v>99</v>
      </c>
      <c r="F120">
        <v>11079.324000000001</v>
      </c>
      <c r="G120">
        <v>1881.9670000000001</v>
      </c>
      <c r="H120">
        <v>1699.8420000000001</v>
      </c>
      <c r="I120">
        <v>1881.9670000000001</v>
      </c>
      <c r="J120">
        <v>1821.259</v>
      </c>
      <c r="K120">
        <v>1881.9670000000001</v>
      </c>
      <c r="L120">
        <v>1821.259</v>
      </c>
      <c r="M120">
        <v>1881.9670000000001</v>
      </c>
      <c r="N120">
        <v>1881.9670000000001</v>
      </c>
      <c r="O120">
        <v>1821.259</v>
      </c>
      <c r="P120">
        <v>1881.9670000000001</v>
      </c>
      <c r="Q120">
        <v>1821.259</v>
      </c>
      <c r="R120">
        <v>1881.9670000000001</v>
      </c>
    </row>
    <row r="121" spans="2:18" x14ac:dyDescent="0.25">
      <c r="D121" t="s">
        <v>107</v>
      </c>
      <c r="F121">
        <v>109.696</v>
      </c>
      <c r="G121">
        <v>18.632999999999999</v>
      </c>
      <c r="H121">
        <v>16.829999999999998</v>
      </c>
      <c r="I121">
        <v>18.632999999999999</v>
      </c>
      <c r="J121">
        <v>18.032</v>
      </c>
      <c r="K121">
        <v>18.632999999999999</v>
      </c>
      <c r="L121">
        <v>18.032</v>
      </c>
      <c r="M121">
        <v>18.632999999999999</v>
      </c>
      <c r="N121">
        <v>18.632999999999999</v>
      </c>
      <c r="O121">
        <v>18.032</v>
      </c>
      <c r="P121">
        <v>18.632999999999999</v>
      </c>
      <c r="Q121">
        <v>18.032</v>
      </c>
      <c r="R121">
        <v>18.632999999999999</v>
      </c>
    </row>
    <row r="122" spans="2:18" x14ac:dyDescent="0.25">
      <c r="C122" t="s">
        <v>100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</row>
    <row r="123" spans="2:18" x14ac:dyDescent="0.25">
      <c r="D123" t="s">
        <v>107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</row>
    <row r="124" spans="2:18" x14ac:dyDescent="0.25">
      <c r="C124" t="s">
        <v>101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</row>
    <row r="125" spans="2:18" x14ac:dyDescent="0.25">
      <c r="C125" t="s">
        <v>92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</row>
    <row r="126" spans="2:18" x14ac:dyDescent="0.25">
      <c r="B126" t="s">
        <v>108</v>
      </c>
    </row>
    <row r="127" spans="2:18" x14ac:dyDescent="0.25">
      <c r="C127" t="s">
        <v>98</v>
      </c>
    </row>
    <row r="128" spans="2:18" x14ac:dyDescent="0.25">
      <c r="D128" t="s">
        <v>103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</row>
    <row r="129" spans="2:18" x14ac:dyDescent="0.25">
      <c r="D129" t="s">
        <v>104</v>
      </c>
      <c r="F129">
        <v>1442.433</v>
      </c>
      <c r="G129">
        <v>187.453</v>
      </c>
      <c r="H129">
        <v>168.37200000000001</v>
      </c>
      <c r="I129">
        <v>179.93600000000001</v>
      </c>
      <c r="J129">
        <v>164.49600000000001</v>
      </c>
      <c r="K129">
        <v>86.034000000000006</v>
      </c>
      <c r="L129">
        <v>6.3250000000000002</v>
      </c>
      <c r="M129">
        <v>0</v>
      </c>
      <c r="N129">
        <v>0</v>
      </c>
      <c r="O129">
        <v>110.28100000000001</v>
      </c>
      <c r="P129">
        <v>172.60499999999999</v>
      </c>
      <c r="Q129">
        <v>178.05500000000001</v>
      </c>
      <c r="R129">
        <v>188.87700000000001</v>
      </c>
    </row>
    <row r="130" spans="2:18" x14ac:dyDescent="0.25">
      <c r="D130" t="s">
        <v>105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</row>
    <row r="131" spans="2:18" x14ac:dyDescent="0.25">
      <c r="D131" t="s">
        <v>109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</row>
    <row r="132" spans="2:18" x14ac:dyDescent="0.25">
      <c r="C132" t="s">
        <v>99</v>
      </c>
    </row>
    <row r="133" spans="2:18" x14ac:dyDescent="0.25">
      <c r="D133" t="s">
        <v>104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</row>
    <row r="134" spans="2:18" x14ac:dyDescent="0.25">
      <c r="D134" t="s">
        <v>105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</row>
    <row r="135" spans="2:18" x14ac:dyDescent="0.25">
      <c r="D135" t="s">
        <v>109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</row>
    <row r="136" spans="2:18" x14ac:dyDescent="0.25">
      <c r="C136" t="s">
        <v>100</v>
      </c>
    </row>
    <row r="137" spans="2:18" x14ac:dyDescent="0.25">
      <c r="D137" t="s">
        <v>103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</row>
    <row r="138" spans="2:18" x14ac:dyDescent="0.25">
      <c r="D138" t="s">
        <v>104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</row>
    <row r="139" spans="2:18" x14ac:dyDescent="0.25">
      <c r="D139" t="s">
        <v>109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</row>
    <row r="140" spans="2:18" x14ac:dyDescent="0.25">
      <c r="C140" t="s">
        <v>119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</row>
    <row r="141" spans="2:18" x14ac:dyDescent="0.25">
      <c r="B141" t="s">
        <v>110</v>
      </c>
    </row>
    <row r="142" spans="2:18" x14ac:dyDescent="0.25">
      <c r="C142" t="s">
        <v>98</v>
      </c>
      <c r="F142">
        <v>275018.84999999998</v>
      </c>
      <c r="G142">
        <v>49512.343999999997</v>
      </c>
      <c r="H142">
        <v>42981.917999999998</v>
      </c>
      <c r="I142">
        <v>36157.156000000003</v>
      </c>
      <c r="J142">
        <v>18017.688999999998</v>
      </c>
      <c r="K142">
        <v>4868.9830000000002</v>
      </c>
      <c r="L142">
        <v>411.52199999999999</v>
      </c>
      <c r="M142">
        <v>0</v>
      </c>
      <c r="N142">
        <v>0</v>
      </c>
      <c r="O142">
        <v>6312.1729999999998</v>
      </c>
      <c r="P142">
        <v>23087.305</v>
      </c>
      <c r="Q142">
        <v>41727.480000000003</v>
      </c>
      <c r="R142">
        <v>51942.277000000002</v>
      </c>
    </row>
    <row r="143" spans="2:18" x14ac:dyDescent="0.25">
      <c r="C143" t="s">
        <v>99</v>
      </c>
      <c r="F143">
        <v>19942.784</v>
      </c>
      <c r="G143">
        <v>3387.5410000000002</v>
      </c>
      <c r="H143">
        <v>3059.7150000000001</v>
      </c>
      <c r="I143">
        <v>3387.5410000000002</v>
      </c>
      <c r="J143">
        <v>3278.2660000000001</v>
      </c>
      <c r="K143">
        <v>3387.5410000000002</v>
      </c>
      <c r="L143">
        <v>3278.2660000000001</v>
      </c>
      <c r="M143">
        <v>3387.5410000000002</v>
      </c>
      <c r="N143">
        <v>3387.5410000000002</v>
      </c>
      <c r="O143">
        <v>3278.2660000000001</v>
      </c>
      <c r="P143">
        <v>3387.5410000000002</v>
      </c>
      <c r="Q143">
        <v>3278.2660000000001</v>
      </c>
      <c r="R143">
        <v>3387.5410000000002</v>
      </c>
    </row>
    <row r="144" spans="2:18" x14ac:dyDescent="0.25">
      <c r="C144" t="s">
        <v>100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</row>
    <row r="145" spans="3:18" x14ac:dyDescent="0.25">
      <c r="C145" t="s">
        <v>101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</row>
    <row r="146" spans="3:18" x14ac:dyDescent="0.25">
      <c r="C146" t="s">
        <v>92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</row>
    <row r="147" spans="3:18" x14ac:dyDescent="0.25">
      <c r="C147" t="s">
        <v>119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3"/>
  <dimension ref="A1:L55"/>
  <sheetViews>
    <sheetView zoomScaleNormal="100" workbookViewId="0">
      <selection activeCell="C19" sqref="C19"/>
    </sheetView>
  </sheetViews>
  <sheetFormatPr baseColWidth="10" defaultRowHeight="15" x14ac:dyDescent="0.25"/>
  <cols>
    <col min="2" max="2" width="39" customWidth="1"/>
    <col min="3" max="3" width="16.140625" customWidth="1"/>
    <col min="4" max="4" width="13.85546875" customWidth="1"/>
    <col min="6" max="6" width="14.85546875" customWidth="1"/>
    <col min="7" max="7" width="20" customWidth="1"/>
    <col min="15" max="15" width="16.140625" customWidth="1"/>
  </cols>
  <sheetData>
    <row r="1" spans="1:10" x14ac:dyDescent="0.25">
      <c r="A1" t="s">
        <v>183</v>
      </c>
    </row>
    <row r="2" spans="1:10" x14ac:dyDescent="0.25">
      <c r="A2" t="s">
        <v>1</v>
      </c>
    </row>
    <row r="4" spans="1:10" x14ac:dyDescent="0.25">
      <c r="A4" t="s">
        <v>236</v>
      </c>
    </row>
    <row r="5" spans="1:10" x14ac:dyDescent="0.25">
      <c r="B5" t="s">
        <v>237</v>
      </c>
    </row>
    <row r="6" spans="1:10" x14ac:dyDescent="0.25">
      <c r="B6" s="80" t="s">
        <v>238</v>
      </c>
      <c r="C6" s="80">
        <v>50000</v>
      </c>
      <c r="D6" s="80" t="s">
        <v>33</v>
      </c>
      <c r="E6" s="80"/>
      <c r="F6" s="80"/>
      <c r="G6" s="80"/>
      <c r="H6" s="80"/>
      <c r="I6" s="80"/>
      <c r="J6" s="80"/>
    </row>
    <row r="7" spans="1:10" x14ac:dyDescent="0.25">
      <c r="B7" s="80" t="s">
        <v>239</v>
      </c>
      <c r="C7" s="80">
        <v>30000</v>
      </c>
      <c r="D7" s="80" t="s">
        <v>33</v>
      </c>
      <c r="E7" s="80"/>
      <c r="F7" s="80"/>
      <c r="G7" s="80"/>
      <c r="H7" s="80"/>
      <c r="I7" s="80"/>
      <c r="J7" s="80"/>
    </row>
    <row r="8" spans="1:10" x14ac:dyDescent="0.25">
      <c r="B8" s="80" t="s">
        <v>240</v>
      </c>
      <c r="C8" s="80">
        <v>10000</v>
      </c>
      <c r="D8" s="80" t="s">
        <v>249</v>
      </c>
      <c r="E8" s="80"/>
      <c r="F8" s="80"/>
      <c r="G8" s="80"/>
      <c r="H8" s="80"/>
      <c r="I8" s="80"/>
      <c r="J8" s="80"/>
    </row>
    <row r="9" spans="1:10" x14ac:dyDescent="0.25">
      <c r="B9" s="80" t="s">
        <v>250</v>
      </c>
      <c r="C9" s="80">
        <v>10000</v>
      </c>
      <c r="D9" s="80" t="s">
        <v>31</v>
      </c>
      <c r="E9" s="80"/>
      <c r="F9" s="80"/>
      <c r="G9" s="80"/>
      <c r="H9" s="80"/>
      <c r="I9" s="80"/>
      <c r="J9" s="80"/>
    </row>
    <row r="10" spans="1:10" x14ac:dyDescent="0.25">
      <c r="B10" s="80" t="s">
        <v>307</v>
      </c>
      <c r="C10" s="80">
        <v>225</v>
      </c>
      <c r="D10" s="80" t="s">
        <v>31</v>
      </c>
      <c r="E10" s="80"/>
      <c r="F10" s="80"/>
      <c r="G10" s="80"/>
      <c r="H10" s="80"/>
      <c r="I10" s="80"/>
      <c r="J10" s="80"/>
    </row>
    <row r="11" spans="1:10" x14ac:dyDescent="0.25">
      <c r="B11" s="80" t="s">
        <v>308</v>
      </c>
      <c r="C11" s="80">
        <v>0.75</v>
      </c>
      <c r="D11" s="80"/>
      <c r="E11" s="80"/>
      <c r="F11" s="80"/>
      <c r="G11" s="80"/>
      <c r="H11" s="80"/>
      <c r="I11" s="80"/>
      <c r="J11" s="80"/>
    </row>
    <row r="12" spans="1:10" x14ac:dyDescent="0.25">
      <c r="B12" s="80"/>
      <c r="C12" s="80"/>
      <c r="D12" s="80"/>
      <c r="E12" s="80"/>
      <c r="F12" s="80"/>
      <c r="G12" s="80"/>
      <c r="H12" s="80"/>
      <c r="I12" s="80"/>
      <c r="J12" s="80"/>
    </row>
    <row r="13" spans="1:10" x14ac:dyDescent="0.25">
      <c r="B13" s="80"/>
      <c r="C13" s="80"/>
      <c r="D13" s="80"/>
      <c r="E13" s="80"/>
      <c r="F13" s="80"/>
      <c r="G13" s="80"/>
      <c r="H13" s="80"/>
      <c r="I13" s="80"/>
      <c r="J13" s="80"/>
    </row>
    <row r="14" spans="1:10" x14ac:dyDescent="0.25">
      <c r="A14" t="s">
        <v>256</v>
      </c>
      <c r="B14" s="80"/>
      <c r="C14" s="80"/>
      <c r="D14" s="80"/>
      <c r="E14" s="80"/>
      <c r="F14" s="80"/>
      <c r="G14" s="80"/>
      <c r="H14" s="80"/>
      <c r="I14" s="80"/>
      <c r="J14" s="80"/>
    </row>
    <row r="15" spans="1:10" x14ac:dyDescent="0.25">
      <c r="A15" t="s">
        <v>267</v>
      </c>
      <c r="B15" s="80"/>
      <c r="C15" s="80"/>
      <c r="D15" s="80"/>
      <c r="E15" s="80"/>
      <c r="F15" s="80" t="s">
        <v>259</v>
      </c>
      <c r="G15" s="80"/>
      <c r="H15" s="80"/>
      <c r="I15" s="80"/>
      <c r="J15" s="80"/>
    </row>
    <row r="16" spans="1:10" x14ac:dyDescent="0.25">
      <c r="B16" s="80" t="s">
        <v>257</v>
      </c>
      <c r="C16" s="80" t="s">
        <v>54</v>
      </c>
      <c r="D16" s="80" t="s">
        <v>258</v>
      </c>
      <c r="E16" s="80" t="s">
        <v>51</v>
      </c>
      <c r="F16" s="80" t="s">
        <v>260</v>
      </c>
      <c r="G16" s="80" t="s">
        <v>261</v>
      </c>
      <c r="H16" s="80"/>
      <c r="I16" s="80"/>
      <c r="J16" s="80"/>
    </row>
    <row r="17" spans="1:12" x14ac:dyDescent="0.25">
      <c r="B17" s="80"/>
      <c r="C17" s="80"/>
      <c r="D17" s="80"/>
      <c r="E17" s="80" t="s">
        <v>57</v>
      </c>
      <c r="F17" s="80" t="s">
        <v>57</v>
      </c>
      <c r="G17" s="80" t="s">
        <v>57</v>
      </c>
      <c r="H17" s="80"/>
      <c r="I17" s="80"/>
      <c r="J17" s="80"/>
    </row>
    <row r="18" spans="1:12" x14ac:dyDescent="0.25">
      <c r="B18" s="80" t="s">
        <v>269</v>
      </c>
      <c r="C18" s="80" t="s">
        <v>262</v>
      </c>
      <c r="D18" s="85" t="s">
        <v>263</v>
      </c>
      <c r="E18" s="80" t="s">
        <v>265</v>
      </c>
      <c r="F18" s="80" t="s">
        <v>266</v>
      </c>
      <c r="G18" s="80" t="s">
        <v>264</v>
      </c>
      <c r="H18" s="80"/>
      <c r="I18" s="80"/>
      <c r="J18" s="80"/>
    </row>
    <row r="19" spans="1:12" x14ac:dyDescent="0.25">
      <c r="B19" s="80" t="s">
        <v>270</v>
      </c>
      <c r="C19" s="80">
        <v>2</v>
      </c>
      <c r="D19" s="80">
        <v>3</v>
      </c>
      <c r="E19" s="80">
        <v>4</v>
      </c>
      <c r="F19" s="80">
        <v>5</v>
      </c>
      <c r="G19" s="80">
        <v>6</v>
      </c>
      <c r="H19" s="80"/>
      <c r="I19" s="80"/>
      <c r="J19" s="80"/>
    </row>
    <row r="20" spans="1:12" x14ac:dyDescent="0.25">
      <c r="B20" s="80"/>
      <c r="C20" s="80"/>
      <c r="D20" s="80"/>
      <c r="E20" s="80"/>
      <c r="F20" s="80"/>
      <c r="G20" s="80"/>
      <c r="H20" s="80"/>
      <c r="I20" s="80"/>
      <c r="J20" s="80"/>
    </row>
    <row r="21" spans="1:12" x14ac:dyDescent="0.25">
      <c r="B21" s="80"/>
      <c r="C21" s="80"/>
      <c r="D21" s="80"/>
      <c r="E21" s="80"/>
      <c r="F21" s="80"/>
      <c r="G21" s="80"/>
      <c r="H21" s="80"/>
      <c r="I21" s="80"/>
      <c r="J21" s="80"/>
    </row>
    <row r="22" spans="1:12" x14ac:dyDescent="0.25">
      <c r="B22" s="80"/>
      <c r="C22" s="80"/>
      <c r="D22" s="80"/>
      <c r="E22" s="80"/>
      <c r="F22" s="80"/>
      <c r="G22" s="80"/>
      <c r="H22" s="80"/>
      <c r="I22" s="80"/>
      <c r="J22" s="80"/>
    </row>
    <row r="27" spans="1:12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</row>
    <row r="28" spans="1:12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</row>
    <row r="29" spans="1:1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</row>
    <row r="30" spans="1:12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</row>
    <row r="31" spans="1:12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</row>
    <row r="32" spans="1:12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</row>
    <row r="33" spans="1:1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</row>
    <row r="34" spans="1:1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</row>
    <row r="35" spans="1:1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</row>
    <row r="36" spans="1:12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</row>
    <row r="37" spans="1:1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</row>
    <row r="38" spans="1:12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</row>
    <row r="39" spans="1:12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</row>
    <row r="40" spans="1:1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</row>
    <row r="41" spans="1:12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</row>
    <row r="42" spans="1:12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</row>
    <row r="43" spans="1:12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</row>
    <row r="44" spans="1:12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</row>
    <row r="45" spans="1:1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</row>
    <row r="46" spans="1:12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</row>
    <row r="47" spans="1:12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</row>
    <row r="48" spans="1:12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</row>
    <row r="49" spans="1:12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</row>
    <row r="50" spans="1:1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</row>
    <row r="51" spans="1:12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</row>
    <row r="52" spans="1:1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</row>
    <row r="53" spans="1:12" x14ac:dyDescent="0.25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</row>
    <row r="54" spans="1:12" x14ac:dyDescent="0.25"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</row>
    <row r="55" spans="1:12" x14ac:dyDescent="0.25"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</row>
  </sheetData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8"/>
  <dimension ref="A1:X153"/>
  <sheetViews>
    <sheetView tabSelected="1" topLeftCell="A98" workbookViewId="0">
      <selection activeCell="F17" sqref="F17"/>
    </sheetView>
  </sheetViews>
  <sheetFormatPr baseColWidth="10" defaultRowHeight="15" x14ac:dyDescent="0.25"/>
  <cols>
    <col min="1" max="5" width="23.28515625" customWidth="1"/>
    <col min="7" max="7" width="20.140625" customWidth="1"/>
    <col min="15" max="15" width="30.7109375" customWidth="1"/>
    <col min="16" max="19" width="15.7109375" customWidth="1"/>
    <col min="21" max="21" width="11.5703125" customWidth="1"/>
    <col min="22" max="22" width="53.7109375" customWidth="1"/>
    <col min="23" max="23" width="15.7109375" customWidth="1"/>
    <col min="24" max="24" width="10.7109375" customWidth="1"/>
  </cols>
  <sheetData>
    <row r="1" spans="1:13" x14ac:dyDescent="0.25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2" spans="1:13" x14ac:dyDescent="0.25">
      <c r="A2" s="2" t="s">
        <v>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3" x14ac:dyDescent="0.25">
      <c r="A3" s="3"/>
      <c r="B3" s="1"/>
      <c r="C3" s="1"/>
      <c r="D3" s="3"/>
      <c r="E3" s="3"/>
      <c r="F3" s="3"/>
      <c r="G3" s="3"/>
      <c r="H3" s="3"/>
      <c r="I3" s="3"/>
      <c r="J3" s="3"/>
      <c r="K3" s="3"/>
      <c r="L3" s="3"/>
    </row>
    <row r="4" spans="1:13" x14ac:dyDescent="0.25">
      <c r="A4" s="3" t="s">
        <v>245</v>
      </c>
      <c r="B4" s="1"/>
      <c r="C4" s="1"/>
      <c r="D4" s="3"/>
      <c r="E4" s="3"/>
      <c r="F4" s="3"/>
      <c r="G4" s="3"/>
      <c r="H4" s="3"/>
      <c r="I4" s="3"/>
      <c r="J4" s="3"/>
      <c r="K4" s="3"/>
      <c r="L4" s="3"/>
    </row>
    <row r="5" spans="1:13" x14ac:dyDescent="0.25">
      <c r="B5" s="44"/>
      <c r="C5" s="44" t="s">
        <v>241</v>
      </c>
      <c r="D5" s="44" t="s">
        <v>243</v>
      </c>
      <c r="E5" s="44" t="s">
        <v>244</v>
      </c>
      <c r="F5" s="3"/>
      <c r="G5" s="3"/>
      <c r="H5" s="3"/>
      <c r="I5" s="3"/>
      <c r="J5" s="3"/>
      <c r="K5" s="3"/>
      <c r="L5" s="3"/>
    </row>
    <row r="6" spans="1:13" x14ac:dyDescent="0.25">
      <c r="B6" s="45"/>
      <c r="C6" s="46" t="s">
        <v>40</v>
      </c>
      <c r="D6" s="46" t="s">
        <v>40</v>
      </c>
      <c r="E6" s="46" t="s">
        <v>242</v>
      </c>
      <c r="F6" s="3"/>
      <c r="G6" s="3"/>
      <c r="H6" s="3"/>
      <c r="I6" s="3"/>
      <c r="J6" s="3"/>
      <c r="K6" s="3"/>
      <c r="L6" s="3"/>
    </row>
    <row r="7" spans="1:13" x14ac:dyDescent="0.25">
      <c r="B7" s="48" t="str">
        <f>ModEinZugBez</f>
        <v>MP3</v>
      </c>
      <c r="C7" s="49">
        <f>Ziel_qp*AllgBezugFlach</f>
        <v>43264000</v>
      </c>
      <c r="D7" s="49">
        <f>Ziel_qf*AllgBezugFlach</f>
        <v>24876799.999999996</v>
      </c>
      <c r="E7" s="49">
        <f>Ziel_co2*AllgBezugFlach</f>
        <v>5408000</v>
      </c>
      <c r="F7" s="3"/>
      <c r="G7" s="3"/>
      <c r="H7" s="3"/>
      <c r="I7" s="3"/>
      <c r="J7" s="3"/>
      <c r="K7" s="3"/>
      <c r="L7" s="3"/>
    </row>
    <row r="8" spans="1:13" x14ac:dyDescent="0.25">
      <c r="B8" s="48" t="s">
        <v>255</v>
      </c>
      <c r="C8" s="49">
        <f>NB_ref_qp*AllgBezugFlach*NB_neubaufaktor</f>
        <v>40559999.999999993</v>
      </c>
      <c r="D8" s="49">
        <f>NB_ref_q_f*AllgBezugFlach*NB_neubaufaktor</f>
        <v>24335999.999999996</v>
      </c>
      <c r="E8" s="49">
        <f>NB_ref_co2*AllgBezugFlach*NB_neubaufaktor</f>
        <v>8112000</v>
      </c>
      <c r="F8" s="3"/>
      <c r="G8" s="3"/>
      <c r="H8" s="3"/>
      <c r="I8" s="3"/>
      <c r="J8" s="3"/>
      <c r="K8" s="3"/>
      <c r="L8" s="3"/>
    </row>
    <row r="9" spans="1:13" x14ac:dyDescent="0.25">
      <c r="A9" s="3"/>
      <c r="B9" s="1"/>
      <c r="C9" s="1"/>
      <c r="D9" s="3"/>
      <c r="E9" s="3"/>
      <c r="F9" s="3"/>
      <c r="G9" s="3"/>
      <c r="H9" s="3"/>
      <c r="I9" s="3"/>
      <c r="J9" s="3"/>
      <c r="K9" s="3"/>
      <c r="L9" s="3"/>
    </row>
    <row r="10" spans="1:13" x14ac:dyDescent="0.25">
      <c r="A10" s="3" t="s">
        <v>246</v>
      </c>
      <c r="B10" s="1"/>
      <c r="C10" s="1"/>
      <c r="D10" s="3"/>
      <c r="E10" s="3"/>
      <c r="F10" s="3"/>
      <c r="G10" s="3" t="s">
        <v>246</v>
      </c>
      <c r="H10" s="3"/>
      <c r="I10" s="3"/>
      <c r="J10" s="3"/>
      <c r="K10" s="3"/>
      <c r="L10" s="3"/>
    </row>
    <row r="11" spans="1:13" x14ac:dyDescent="0.25">
      <c r="A11" s="3"/>
      <c r="B11" s="1"/>
      <c r="C11" s="1"/>
      <c r="D11" s="3"/>
      <c r="E11" s="3"/>
      <c r="F11" s="3"/>
      <c r="G11" s="35" t="s">
        <v>255</v>
      </c>
      <c r="H11" s="36"/>
      <c r="I11" s="36" t="s">
        <v>30</v>
      </c>
      <c r="J11" s="36"/>
      <c r="K11" s="37">
        <f>(NB_ref_energiekosten - NB_ref_grundkosten_energie)*NB_neubaufaktor+NB_ref_grundkosten_energie</f>
        <v>7556.25</v>
      </c>
      <c r="L11" s="36" t="s">
        <v>31</v>
      </c>
      <c r="M11" s="38"/>
    </row>
    <row r="12" spans="1:13" x14ac:dyDescent="0.25">
      <c r="A12" s="3"/>
      <c r="B12" s="1"/>
      <c r="C12" s="1"/>
      <c r="D12" s="3"/>
      <c r="E12" s="3"/>
      <c r="F12" s="3"/>
      <c r="G12" s="39"/>
      <c r="H12" s="40"/>
      <c r="I12" s="40" t="s">
        <v>32</v>
      </c>
      <c r="J12" s="40"/>
      <c r="K12" s="41">
        <f>NB_ref_q_f*NB_neubaufaktor</f>
        <v>22500</v>
      </c>
      <c r="L12" s="40" t="s">
        <v>33</v>
      </c>
      <c r="M12" s="42"/>
    </row>
    <row r="13" spans="1:13" x14ac:dyDescent="0.25">
      <c r="A13" s="3"/>
      <c r="B13" s="1"/>
      <c r="C13" s="1"/>
      <c r="D13" s="3"/>
      <c r="E13" s="3"/>
      <c r="F13" s="3"/>
      <c r="G13" s="16"/>
      <c r="H13" s="3"/>
      <c r="I13" s="3"/>
      <c r="J13" s="3"/>
      <c r="K13" s="3"/>
      <c r="L13" s="3"/>
      <c r="M13" s="43"/>
    </row>
    <row r="14" spans="1:13" ht="89.25" x14ac:dyDescent="0.25">
      <c r="A14" s="3"/>
      <c r="B14" s="3"/>
      <c r="C14" s="3"/>
      <c r="D14" s="3"/>
      <c r="E14" s="3"/>
      <c r="F14" s="3"/>
      <c r="G14" s="44" t="s">
        <v>34</v>
      </c>
      <c r="H14" s="44" t="s">
        <v>254</v>
      </c>
      <c r="I14" s="44" t="s">
        <v>248</v>
      </c>
      <c r="J14" s="44" t="s">
        <v>253</v>
      </c>
      <c r="K14" s="44" t="s">
        <v>252</v>
      </c>
      <c r="L14" s="44" t="s">
        <v>251</v>
      </c>
      <c r="M14" s="44" t="s">
        <v>43</v>
      </c>
    </row>
    <row r="15" spans="1:13" x14ac:dyDescent="0.25">
      <c r="A15" s="3"/>
      <c r="B15" s="3"/>
      <c r="C15" s="3"/>
      <c r="D15" s="3"/>
      <c r="E15" s="3"/>
      <c r="F15" s="3"/>
      <c r="G15" s="45"/>
      <c r="H15" s="46" t="s">
        <v>36</v>
      </c>
      <c r="I15" s="46" t="s">
        <v>38</v>
      </c>
      <c r="J15" s="46" t="s">
        <v>40</v>
      </c>
      <c r="K15" s="46" t="s">
        <v>36</v>
      </c>
      <c r="L15" s="46" t="s">
        <v>42</v>
      </c>
      <c r="M15" s="47"/>
    </row>
    <row r="16" spans="1:13" x14ac:dyDescent="0.25">
      <c r="A16" s="3"/>
      <c r="B16" s="3"/>
      <c r="C16" s="4"/>
      <c r="D16" s="3"/>
      <c r="E16" s="3"/>
      <c r="F16" s="3"/>
      <c r="G16" s="48" t="str">
        <f>IF(ModEinZugBez&lt;&gt;"",ModEinZugBez,"")</f>
        <v>MP3</v>
      </c>
      <c r="H16" s="49">
        <f ca="1">SUM(OFFSET(ModEinZugETbez,3,0,1,1):OFFSET(ModEinZugETbez,3,15,1,1))</f>
        <v>2064</v>
      </c>
      <c r="I16" s="49">
        <f ca="1">OFFSET(ModEinZugBez,8,0,1,1)-OFFSET(ModEinZugBez,9,0,1,1)</f>
        <v>22451</v>
      </c>
      <c r="J16" s="49">
        <f ca="1">NB_qf-SUM(OFFSET(ModEinZugETbez,1,0,1,1):OFFSET(ModEinZugETbez,1,15,1,1))</f>
        <v>-573.43799999999828</v>
      </c>
      <c r="K16" s="49">
        <f ca="1">NB_energiekosten-SUM(OFFSET(ModEinZugETbez,3,0,1,1):OFFSET(ModEinZugETbez,3,15,1,1))</f>
        <v>5492.25</v>
      </c>
      <c r="L16" s="49">
        <f ca="1">IF(NB_energiekosten=0,0,100*K16/NB_energiekosten)</f>
        <v>72.684863523573199</v>
      </c>
      <c r="M16" s="50" t="str">
        <f ca="1">IF(K16=0,CONCATENATE(I16," : 0"),CONCATENATE(ROUND(I16/K16,0)," : 1"))</f>
        <v>4 : 1</v>
      </c>
    </row>
    <row r="17" spans="1:19" x14ac:dyDescent="0.25">
      <c r="A17" s="3"/>
      <c r="B17" s="3"/>
      <c r="C17" s="4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9" x14ac:dyDescent="0.25">
      <c r="A18" s="3" t="s">
        <v>268</v>
      </c>
      <c r="B18" s="3"/>
      <c r="C18" s="4"/>
      <c r="D18" s="3"/>
      <c r="E18" s="3"/>
      <c r="F18" s="3"/>
      <c r="G18" s="3"/>
      <c r="H18" s="3"/>
      <c r="I18" s="3"/>
      <c r="J18" s="3"/>
      <c r="K18" s="3"/>
      <c r="L18" s="3"/>
      <c r="O18" s="3" t="s">
        <v>268</v>
      </c>
    </row>
    <row r="19" spans="1:19" ht="25.5" customHeight="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O19" s="92" t="s">
        <v>54</v>
      </c>
      <c r="P19" s="92" t="s">
        <v>306</v>
      </c>
      <c r="Q19" s="92" t="s">
        <v>51</v>
      </c>
      <c r="R19" s="94" t="s">
        <v>259</v>
      </c>
      <c r="S19" s="94"/>
    </row>
    <row r="20" spans="1:19" ht="27.75" customHeigh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O20" s="93"/>
      <c r="P20" s="93"/>
      <c r="Q20" s="93"/>
      <c r="R20" s="73" t="str">
        <f>SCNeubau!F16</f>
        <v>Zone T &gt;= 19°C</v>
      </c>
      <c r="S20" s="73" t="str">
        <f>SCNeubau!G16</f>
        <v>Zone 19°C &gt; T &gt;= 12 °C</v>
      </c>
    </row>
    <row r="21" spans="1:19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O21" s="81"/>
      <c r="P21" s="52"/>
      <c r="Q21" s="52" t="str">
        <f>SCNeubau!E17</f>
        <v>[W/(m²K)]</v>
      </c>
      <c r="R21" s="52" t="str">
        <f>SCNeubau!F17</f>
        <v>[W/(m²K)]</v>
      </c>
      <c r="S21" s="52" t="str">
        <f>SCNeubau!G17</f>
        <v>[W/(m²K)]</v>
      </c>
    </row>
    <row r="22" spans="1:19" x14ac:dyDescent="0.25">
      <c r="A22" s="3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>
        <v>1</v>
      </c>
      <c r="O22" s="48" t="str">
        <f t="shared" ref="O22:O53" ca="1" si="0">IF(OFFSET(BTCODE,N22-1,0)&lt;&gt;0,CONCATENATE(OFFSET(BTCODE,N22-1,0)," ",OFFSET(BTCODE,N22-1,1)),0)</f>
        <v>BTCODE1 BTNAME</v>
      </c>
      <c r="P22" s="48" t="str">
        <f t="shared" ref="P22:P53" ca="1" si="1">OFFSET(BTCODE,N22-1,2)</f>
        <v xml:space="preserve">BTEINBAU </v>
      </c>
      <c r="Q22" s="48" t="str">
        <f t="shared" ref="Q22:Q53" ca="1" si="2">OFFSET(BTCODE,N22-1,3)</f>
        <v>BTUWERT</v>
      </c>
      <c r="R22" s="48" t="str">
        <f t="shared" ref="R22:R53" ca="1" si="3">OFFSET(BTCODE,N22-1,4)</f>
        <v>GEG_G19_N</v>
      </c>
      <c r="S22" s="48" t="str">
        <f t="shared" ref="S22:S53" ca="1" si="4">OFFSET(BTCODE,N22-1,5)</f>
        <v xml:space="preserve"> GEG_K19_N</v>
      </c>
    </row>
    <row r="23" spans="1:19" x14ac:dyDescent="0.25">
      <c r="A23" s="3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>
        <f>N22+1</f>
        <v>2</v>
      </c>
      <c r="O23" s="48" t="str">
        <f t="shared" ca="1" si="0"/>
        <v>BTCode 2 2</v>
      </c>
      <c r="P23" s="48">
        <f t="shared" ca="1" si="1"/>
        <v>3</v>
      </c>
      <c r="Q23" s="48">
        <f t="shared" ca="1" si="2"/>
        <v>4</v>
      </c>
      <c r="R23" s="48">
        <f t="shared" ca="1" si="3"/>
        <v>5</v>
      </c>
      <c r="S23" s="48">
        <f t="shared" ca="1" si="4"/>
        <v>6</v>
      </c>
    </row>
    <row r="24" spans="1:19" x14ac:dyDescent="0.25">
      <c r="A24" s="3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>
        <f t="shared" ref="N24:N87" si="5">N23+1</f>
        <v>3</v>
      </c>
      <c r="O24" s="48">
        <f t="shared" ca="1" si="0"/>
        <v>0</v>
      </c>
      <c r="P24" s="48">
        <f t="shared" ca="1" si="1"/>
        <v>0</v>
      </c>
      <c r="Q24" s="48">
        <f t="shared" ca="1" si="2"/>
        <v>0</v>
      </c>
      <c r="R24" s="48">
        <f t="shared" ca="1" si="3"/>
        <v>0</v>
      </c>
      <c r="S24" s="48">
        <f t="shared" ca="1" si="4"/>
        <v>0</v>
      </c>
    </row>
    <row r="25" spans="1:19" x14ac:dyDescent="0.25">
      <c r="A25" s="3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>
        <f t="shared" si="5"/>
        <v>4</v>
      </c>
      <c r="O25" s="48">
        <f t="shared" ca="1" si="0"/>
        <v>0</v>
      </c>
      <c r="P25" s="48">
        <f t="shared" ca="1" si="1"/>
        <v>0</v>
      </c>
      <c r="Q25" s="48">
        <f t="shared" ca="1" si="2"/>
        <v>0</v>
      </c>
      <c r="R25" s="48">
        <f t="shared" ca="1" si="3"/>
        <v>0</v>
      </c>
      <c r="S25" s="48">
        <f t="shared" ca="1" si="4"/>
        <v>0</v>
      </c>
    </row>
    <row r="26" spans="1:19" x14ac:dyDescent="0.25">
      <c r="A26" s="3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>
        <f t="shared" si="5"/>
        <v>5</v>
      </c>
      <c r="O26" s="48">
        <f t="shared" ca="1" si="0"/>
        <v>0</v>
      </c>
      <c r="P26" s="48">
        <f t="shared" ca="1" si="1"/>
        <v>0</v>
      </c>
      <c r="Q26" s="48">
        <f t="shared" ca="1" si="2"/>
        <v>0</v>
      </c>
      <c r="R26" s="48">
        <f t="shared" ca="1" si="3"/>
        <v>0</v>
      </c>
      <c r="S26" s="48">
        <f t="shared" ca="1" si="4"/>
        <v>0</v>
      </c>
    </row>
    <row r="27" spans="1:19" x14ac:dyDescent="0.25">
      <c r="A27" s="3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>
        <f t="shared" si="5"/>
        <v>6</v>
      </c>
      <c r="O27" s="48">
        <f t="shared" ca="1" si="0"/>
        <v>0</v>
      </c>
      <c r="P27" s="48">
        <f t="shared" ca="1" si="1"/>
        <v>0</v>
      </c>
      <c r="Q27" s="48">
        <f t="shared" ca="1" si="2"/>
        <v>0</v>
      </c>
      <c r="R27" s="48">
        <f t="shared" ca="1" si="3"/>
        <v>0</v>
      </c>
      <c r="S27" s="48">
        <f t="shared" ca="1" si="4"/>
        <v>0</v>
      </c>
    </row>
    <row r="28" spans="1:19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>
        <f t="shared" si="5"/>
        <v>7</v>
      </c>
      <c r="O28" s="48">
        <f t="shared" ca="1" si="0"/>
        <v>0</v>
      </c>
      <c r="P28" s="48">
        <f t="shared" ca="1" si="1"/>
        <v>0</v>
      </c>
      <c r="Q28" s="48">
        <f t="shared" ca="1" si="2"/>
        <v>0</v>
      </c>
      <c r="R28" s="48">
        <f t="shared" ca="1" si="3"/>
        <v>0</v>
      </c>
      <c r="S28" s="48">
        <f t="shared" ca="1" si="4"/>
        <v>0</v>
      </c>
    </row>
    <row r="29" spans="1:19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>
        <f t="shared" si="5"/>
        <v>8</v>
      </c>
      <c r="O29" s="48">
        <f t="shared" ca="1" si="0"/>
        <v>0</v>
      </c>
      <c r="P29" s="48">
        <f t="shared" ca="1" si="1"/>
        <v>0</v>
      </c>
      <c r="Q29" s="48">
        <f t="shared" ca="1" si="2"/>
        <v>0</v>
      </c>
      <c r="R29" s="48">
        <f t="shared" ca="1" si="3"/>
        <v>0</v>
      </c>
      <c r="S29" s="48">
        <f t="shared" ca="1" si="4"/>
        <v>0</v>
      </c>
    </row>
    <row r="30" spans="1:19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>
        <f t="shared" si="5"/>
        <v>9</v>
      </c>
      <c r="O30" s="48">
        <f t="shared" ca="1" si="0"/>
        <v>0</v>
      </c>
      <c r="P30" s="48">
        <f t="shared" ca="1" si="1"/>
        <v>0</v>
      </c>
      <c r="Q30" s="48">
        <f t="shared" ca="1" si="2"/>
        <v>0</v>
      </c>
      <c r="R30" s="48">
        <f t="shared" ca="1" si="3"/>
        <v>0</v>
      </c>
      <c r="S30" s="48">
        <f t="shared" ca="1" si="4"/>
        <v>0</v>
      </c>
    </row>
    <row r="31" spans="1:19" x14ac:dyDescent="0.25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>
        <f t="shared" si="5"/>
        <v>10</v>
      </c>
      <c r="O31" s="48">
        <f t="shared" ca="1" si="0"/>
        <v>0</v>
      </c>
      <c r="P31" s="48">
        <f t="shared" ca="1" si="1"/>
        <v>0</v>
      </c>
      <c r="Q31" s="48">
        <f t="shared" ca="1" si="2"/>
        <v>0</v>
      </c>
      <c r="R31" s="48">
        <f t="shared" ca="1" si="3"/>
        <v>0</v>
      </c>
      <c r="S31" s="48">
        <f t="shared" ca="1" si="4"/>
        <v>0</v>
      </c>
    </row>
    <row r="32" spans="1:19" x14ac:dyDescent="0.25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>
        <f t="shared" si="5"/>
        <v>11</v>
      </c>
      <c r="O32" s="48">
        <f t="shared" ca="1" si="0"/>
        <v>0</v>
      </c>
      <c r="P32" s="48">
        <f t="shared" ca="1" si="1"/>
        <v>0</v>
      </c>
      <c r="Q32" s="48">
        <f t="shared" ca="1" si="2"/>
        <v>0</v>
      </c>
      <c r="R32" s="48">
        <f t="shared" ca="1" si="3"/>
        <v>0</v>
      </c>
      <c r="S32" s="48">
        <f t="shared" ca="1" si="4"/>
        <v>0</v>
      </c>
    </row>
    <row r="33" spans="1:19" x14ac:dyDescent="0.25">
      <c r="A33" s="3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>
        <f t="shared" si="5"/>
        <v>12</v>
      </c>
      <c r="O33" s="48">
        <f t="shared" ca="1" si="0"/>
        <v>0</v>
      </c>
      <c r="P33" s="48">
        <f t="shared" ca="1" si="1"/>
        <v>0</v>
      </c>
      <c r="Q33" s="48">
        <f t="shared" ca="1" si="2"/>
        <v>0</v>
      </c>
      <c r="R33" s="48">
        <f t="shared" ca="1" si="3"/>
        <v>0</v>
      </c>
      <c r="S33" s="48">
        <f t="shared" ca="1" si="4"/>
        <v>0</v>
      </c>
    </row>
    <row r="34" spans="1:19" x14ac:dyDescent="0.25">
      <c r="A34" s="3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>
        <f t="shared" si="5"/>
        <v>13</v>
      </c>
      <c r="O34" s="48">
        <f t="shared" ca="1" si="0"/>
        <v>0</v>
      </c>
      <c r="P34" s="48">
        <f t="shared" ca="1" si="1"/>
        <v>0</v>
      </c>
      <c r="Q34" s="48">
        <f t="shared" ca="1" si="2"/>
        <v>0</v>
      </c>
      <c r="R34" s="48">
        <f t="shared" ca="1" si="3"/>
        <v>0</v>
      </c>
      <c r="S34" s="48">
        <f t="shared" ca="1" si="4"/>
        <v>0</v>
      </c>
    </row>
    <row r="35" spans="1:19" x14ac:dyDescent="0.25">
      <c r="A35" s="3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>
        <f t="shared" si="5"/>
        <v>14</v>
      </c>
      <c r="O35" s="48">
        <f t="shared" ca="1" si="0"/>
        <v>0</v>
      </c>
      <c r="P35" s="48">
        <f t="shared" ca="1" si="1"/>
        <v>0</v>
      </c>
      <c r="Q35" s="48">
        <f t="shared" ca="1" si="2"/>
        <v>0</v>
      </c>
      <c r="R35" s="48">
        <f t="shared" ca="1" si="3"/>
        <v>0</v>
      </c>
      <c r="S35" s="48">
        <f t="shared" ca="1" si="4"/>
        <v>0</v>
      </c>
    </row>
    <row r="36" spans="1:19" x14ac:dyDescent="0.25">
      <c r="A36" s="3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>
        <f t="shared" si="5"/>
        <v>15</v>
      </c>
      <c r="O36" s="48">
        <f t="shared" ca="1" si="0"/>
        <v>0</v>
      </c>
      <c r="P36" s="48">
        <f t="shared" ca="1" si="1"/>
        <v>0</v>
      </c>
      <c r="Q36" s="48">
        <f t="shared" ca="1" si="2"/>
        <v>0</v>
      </c>
      <c r="R36" s="48">
        <f t="shared" ca="1" si="3"/>
        <v>0</v>
      </c>
      <c r="S36" s="48">
        <f t="shared" ca="1" si="4"/>
        <v>0</v>
      </c>
    </row>
    <row r="37" spans="1:19" x14ac:dyDescent="0.25">
      <c r="A37" s="3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>
        <f t="shared" si="5"/>
        <v>16</v>
      </c>
      <c r="O37" s="48">
        <f t="shared" ca="1" si="0"/>
        <v>0</v>
      </c>
      <c r="P37" s="48">
        <f t="shared" ca="1" si="1"/>
        <v>0</v>
      </c>
      <c r="Q37" s="48">
        <f t="shared" ca="1" si="2"/>
        <v>0</v>
      </c>
      <c r="R37" s="48">
        <f t="shared" ca="1" si="3"/>
        <v>0</v>
      </c>
      <c r="S37" s="48">
        <f t="shared" ca="1" si="4"/>
        <v>0</v>
      </c>
    </row>
    <row r="38" spans="1:19" x14ac:dyDescent="0.25">
      <c r="A38" s="3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>
        <f t="shared" si="5"/>
        <v>17</v>
      </c>
      <c r="O38" s="48">
        <f t="shared" ca="1" si="0"/>
        <v>0</v>
      </c>
      <c r="P38" s="48">
        <f t="shared" ca="1" si="1"/>
        <v>0</v>
      </c>
      <c r="Q38" s="48">
        <f t="shared" ca="1" si="2"/>
        <v>0</v>
      </c>
      <c r="R38" s="48">
        <f t="shared" ca="1" si="3"/>
        <v>0</v>
      </c>
      <c r="S38" s="48">
        <f t="shared" ca="1" si="4"/>
        <v>0</v>
      </c>
    </row>
    <row r="39" spans="1:19" x14ac:dyDescent="0.25">
      <c r="A39" s="3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>
        <f t="shared" si="5"/>
        <v>18</v>
      </c>
      <c r="O39" s="48">
        <f t="shared" ca="1" si="0"/>
        <v>0</v>
      </c>
      <c r="P39" s="48">
        <f t="shared" ca="1" si="1"/>
        <v>0</v>
      </c>
      <c r="Q39" s="48">
        <f t="shared" ca="1" si="2"/>
        <v>0</v>
      </c>
      <c r="R39" s="48">
        <f t="shared" ca="1" si="3"/>
        <v>0</v>
      </c>
      <c r="S39" s="48">
        <f t="shared" ca="1" si="4"/>
        <v>0</v>
      </c>
    </row>
    <row r="40" spans="1:19" x14ac:dyDescent="0.25">
      <c r="A40" s="3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>
        <f t="shared" si="5"/>
        <v>19</v>
      </c>
      <c r="O40" s="48">
        <f t="shared" ca="1" si="0"/>
        <v>0</v>
      </c>
      <c r="P40" s="48">
        <f t="shared" ca="1" si="1"/>
        <v>0</v>
      </c>
      <c r="Q40" s="48">
        <f t="shared" ca="1" si="2"/>
        <v>0</v>
      </c>
      <c r="R40" s="48">
        <f t="shared" ca="1" si="3"/>
        <v>0</v>
      </c>
      <c r="S40" s="48">
        <f t="shared" ca="1" si="4"/>
        <v>0</v>
      </c>
    </row>
    <row r="41" spans="1:19" x14ac:dyDescent="0.25">
      <c r="A41" s="3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>
        <f t="shared" si="5"/>
        <v>20</v>
      </c>
      <c r="O41" s="48">
        <f t="shared" ca="1" si="0"/>
        <v>0</v>
      </c>
      <c r="P41" s="48">
        <f t="shared" ca="1" si="1"/>
        <v>0</v>
      </c>
      <c r="Q41" s="48">
        <f t="shared" ca="1" si="2"/>
        <v>0</v>
      </c>
      <c r="R41" s="48">
        <f t="shared" ca="1" si="3"/>
        <v>0</v>
      </c>
      <c r="S41" s="48">
        <f t="shared" ca="1" si="4"/>
        <v>0</v>
      </c>
    </row>
    <row r="42" spans="1:19" x14ac:dyDescent="0.25">
      <c r="A42" s="3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>
        <f t="shared" si="5"/>
        <v>21</v>
      </c>
      <c r="O42" s="48">
        <f t="shared" ca="1" si="0"/>
        <v>0</v>
      </c>
      <c r="P42" s="48">
        <f t="shared" ca="1" si="1"/>
        <v>0</v>
      </c>
      <c r="Q42" s="48">
        <f t="shared" ca="1" si="2"/>
        <v>0</v>
      </c>
      <c r="R42" s="48">
        <f t="shared" ca="1" si="3"/>
        <v>0</v>
      </c>
      <c r="S42" s="48">
        <f t="shared" ca="1" si="4"/>
        <v>0</v>
      </c>
    </row>
    <row r="43" spans="1:19" x14ac:dyDescent="0.25">
      <c r="A43" s="3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>
        <f t="shared" si="5"/>
        <v>22</v>
      </c>
      <c r="O43" s="48">
        <f t="shared" ca="1" si="0"/>
        <v>0</v>
      </c>
      <c r="P43" s="48">
        <f t="shared" ca="1" si="1"/>
        <v>0</v>
      </c>
      <c r="Q43" s="48">
        <f t="shared" ca="1" si="2"/>
        <v>0</v>
      </c>
      <c r="R43" s="48">
        <f t="shared" ca="1" si="3"/>
        <v>0</v>
      </c>
      <c r="S43" s="48">
        <f t="shared" ca="1" si="4"/>
        <v>0</v>
      </c>
    </row>
    <row r="44" spans="1:19" x14ac:dyDescent="0.25">
      <c r="A44" s="3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>
        <f t="shared" si="5"/>
        <v>23</v>
      </c>
      <c r="O44" s="48">
        <f t="shared" ca="1" si="0"/>
        <v>0</v>
      </c>
      <c r="P44" s="48">
        <f t="shared" ca="1" si="1"/>
        <v>0</v>
      </c>
      <c r="Q44" s="48">
        <f t="shared" ca="1" si="2"/>
        <v>0</v>
      </c>
      <c r="R44" s="48">
        <f t="shared" ca="1" si="3"/>
        <v>0</v>
      </c>
      <c r="S44" s="48">
        <f t="shared" ca="1" si="4"/>
        <v>0</v>
      </c>
    </row>
    <row r="45" spans="1:19" x14ac:dyDescent="0.25">
      <c r="A45" s="3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>
        <f t="shared" si="5"/>
        <v>24</v>
      </c>
      <c r="O45" s="48">
        <f t="shared" ca="1" si="0"/>
        <v>0</v>
      </c>
      <c r="P45" s="48">
        <f t="shared" ca="1" si="1"/>
        <v>0</v>
      </c>
      <c r="Q45" s="48">
        <f t="shared" ca="1" si="2"/>
        <v>0</v>
      </c>
      <c r="R45" s="48">
        <f t="shared" ca="1" si="3"/>
        <v>0</v>
      </c>
      <c r="S45" s="48">
        <f t="shared" ca="1" si="4"/>
        <v>0</v>
      </c>
    </row>
    <row r="46" spans="1:19" x14ac:dyDescent="0.25">
      <c r="A46" s="3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>
        <f t="shared" si="5"/>
        <v>25</v>
      </c>
      <c r="O46" s="48">
        <f t="shared" ca="1" si="0"/>
        <v>0</v>
      </c>
      <c r="P46" s="48">
        <f t="shared" ca="1" si="1"/>
        <v>0</v>
      </c>
      <c r="Q46" s="48">
        <f t="shared" ca="1" si="2"/>
        <v>0</v>
      </c>
      <c r="R46" s="48">
        <f t="shared" ca="1" si="3"/>
        <v>0</v>
      </c>
      <c r="S46" s="48">
        <f t="shared" ca="1" si="4"/>
        <v>0</v>
      </c>
    </row>
    <row r="47" spans="1:19" x14ac:dyDescent="0.25">
      <c r="A47" s="3"/>
      <c r="N47" s="4">
        <f t="shared" si="5"/>
        <v>26</v>
      </c>
      <c r="O47" s="48">
        <f t="shared" ca="1" si="0"/>
        <v>0</v>
      </c>
      <c r="P47" s="48">
        <f t="shared" ca="1" si="1"/>
        <v>0</v>
      </c>
      <c r="Q47" s="48">
        <f t="shared" ca="1" si="2"/>
        <v>0</v>
      </c>
      <c r="R47" s="48">
        <f t="shared" ca="1" si="3"/>
        <v>0</v>
      </c>
      <c r="S47" s="48">
        <f t="shared" ca="1" si="4"/>
        <v>0</v>
      </c>
    </row>
    <row r="48" spans="1:19" x14ac:dyDescent="0.25">
      <c r="A48" s="3"/>
      <c r="N48" s="4">
        <f t="shared" si="5"/>
        <v>27</v>
      </c>
      <c r="O48" s="48">
        <f t="shared" ca="1" si="0"/>
        <v>0</v>
      </c>
      <c r="P48" s="48">
        <f t="shared" ca="1" si="1"/>
        <v>0</v>
      </c>
      <c r="Q48" s="48">
        <f t="shared" ca="1" si="2"/>
        <v>0</v>
      </c>
      <c r="R48" s="48">
        <f t="shared" ca="1" si="3"/>
        <v>0</v>
      </c>
      <c r="S48" s="48">
        <f t="shared" ca="1" si="4"/>
        <v>0</v>
      </c>
    </row>
    <row r="49" spans="1:19" x14ac:dyDescent="0.25">
      <c r="A49" s="3"/>
      <c r="N49" s="4">
        <f t="shared" si="5"/>
        <v>28</v>
      </c>
      <c r="O49" s="48">
        <f t="shared" ca="1" si="0"/>
        <v>0</v>
      </c>
      <c r="P49" s="48">
        <f t="shared" ca="1" si="1"/>
        <v>0</v>
      </c>
      <c r="Q49" s="48">
        <f t="shared" ca="1" si="2"/>
        <v>0</v>
      </c>
      <c r="R49" s="48">
        <f t="shared" ca="1" si="3"/>
        <v>0</v>
      </c>
      <c r="S49" s="48">
        <f t="shared" ca="1" si="4"/>
        <v>0</v>
      </c>
    </row>
    <row r="50" spans="1:19" x14ac:dyDescent="0.25">
      <c r="A50" s="3"/>
      <c r="N50" s="4">
        <f t="shared" si="5"/>
        <v>29</v>
      </c>
      <c r="O50" s="48">
        <f t="shared" ca="1" si="0"/>
        <v>0</v>
      </c>
      <c r="P50" s="48">
        <f t="shared" ca="1" si="1"/>
        <v>0</v>
      </c>
      <c r="Q50" s="48">
        <f t="shared" ca="1" si="2"/>
        <v>0</v>
      </c>
      <c r="R50" s="48">
        <f t="shared" ca="1" si="3"/>
        <v>0</v>
      </c>
      <c r="S50" s="48">
        <f t="shared" ca="1" si="4"/>
        <v>0</v>
      </c>
    </row>
    <row r="51" spans="1:19" x14ac:dyDescent="0.25">
      <c r="A51" s="3"/>
      <c r="N51" s="4">
        <f t="shared" si="5"/>
        <v>30</v>
      </c>
      <c r="O51" s="48">
        <f t="shared" ca="1" si="0"/>
        <v>0</v>
      </c>
      <c r="P51" s="48">
        <f t="shared" ca="1" si="1"/>
        <v>0</v>
      </c>
      <c r="Q51" s="48">
        <f t="shared" ca="1" si="2"/>
        <v>0</v>
      </c>
      <c r="R51" s="48">
        <f t="shared" ca="1" si="3"/>
        <v>0</v>
      </c>
      <c r="S51" s="48">
        <f t="shared" ca="1" si="4"/>
        <v>0</v>
      </c>
    </row>
    <row r="52" spans="1:19" x14ac:dyDescent="0.25">
      <c r="A52" s="3"/>
      <c r="N52" s="4">
        <f t="shared" si="5"/>
        <v>31</v>
      </c>
      <c r="O52" s="48">
        <f t="shared" ca="1" si="0"/>
        <v>0</v>
      </c>
      <c r="P52" s="48">
        <f t="shared" ca="1" si="1"/>
        <v>0</v>
      </c>
      <c r="Q52" s="48">
        <f t="shared" ca="1" si="2"/>
        <v>0</v>
      </c>
      <c r="R52" s="48">
        <f t="shared" ca="1" si="3"/>
        <v>0</v>
      </c>
      <c r="S52" s="48">
        <f t="shared" ca="1" si="4"/>
        <v>0</v>
      </c>
    </row>
    <row r="53" spans="1:19" x14ac:dyDescent="0.25">
      <c r="A53" s="3"/>
      <c r="N53" s="4">
        <f t="shared" si="5"/>
        <v>32</v>
      </c>
      <c r="O53" s="48">
        <f t="shared" ca="1" si="0"/>
        <v>0</v>
      </c>
      <c r="P53" s="48">
        <f t="shared" ca="1" si="1"/>
        <v>0</v>
      </c>
      <c r="Q53" s="48">
        <f t="shared" ca="1" si="2"/>
        <v>0</v>
      </c>
      <c r="R53" s="48">
        <f t="shared" ca="1" si="3"/>
        <v>0</v>
      </c>
      <c r="S53" s="48">
        <f t="shared" ca="1" si="4"/>
        <v>0</v>
      </c>
    </row>
    <row r="54" spans="1:19" x14ac:dyDescent="0.25">
      <c r="N54" s="4">
        <f t="shared" si="5"/>
        <v>33</v>
      </c>
      <c r="O54" s="48">
        <f t="shared" ref="O54:O85" ca="1" si="6">IF(OFFSET(BTCODE,N54-1,0)&lt;&gt;0,CONCATENATE(OFFSET(BTCODE,N54-1,0)," ",OFFSET(BTCODE,N54-1,1)),0)</f>
        <v>0</v>
      </c>
      <c r="P54" s="48">
        <f t="shared" ref="P54:P85" ca="1" si="7">OFFSET(BTCODE,N54-1,2)</f>
        <v>0</v>
      </c>
      <c r="Q54" s="48">
        <f t="shared" ref="Q54:Q85" ca="1" si="8">OFFSET(BTCODE,N54-1,3)</f>
        <v>0</v>
      </c>
      <c r="R54" s="48">
        <f t="shared" ref="R54:R85" ca="1" si="9">OFFSET(BTCODE,N54-1,4)</f>
        <v>0</v>
      </c>
      <c r="S54" s="48">
        <f t="shared" ref="S54:S85" ca="1" si="10">OFFSET(BTCODE,N54-1,5)</f>
        <v>0</v>
      </c>
    </row>
    <row r="55" spans="1:19" x14ac:dyDescent="0.25">
      <c r="N55" s="4">
        <f t="shared" si="5"/>
        <v>34</v>
      </c>
      <c r="O55" s="48">
        <f t="shared" ca="1" si="6"/>
        <v>0</v>
      </c>
      <c r="P55" s="48">
        <f t="shared" ca="1" si="7"/>
        <v>0</v>
      </c>
      <c r="Q55" s="48">
        <f t="shared" ca="1" si="8"/>
        <v>0</v>
      </c>
      <c r="R55" s="48">
        <f t="shared" ca="1" si="9"/>
        <v>0</v>
      </c>
      <c r="S55" s="48">
        <f t="shared" ca="1" si="10"/>
        <v>0</v>
      </c>
    </row>
    <row r="56" spans="1:19" x14ac:dyDescent="0.25">
      <c r="N56" s="4">
        <f t="shared" si="5"/>
        <v>35</v>
      </c>
      <c r="O56" s="48">
        <f t="shared" ca="1" si="6"/>
        <v>0</v>
      </c>
      <c r="P56" s="48">
        <f t="shared" ca="1" si="7"/>
        <v>0</v>
      </c>
      <c r="Q56" s="48">
        <f t="shared" ca="1" si="8"/>
        <v>0</v>
      </c>
      <c r="R56" s="48">
        <f t="shared" ca="1" si="9"/>
        <v>0</v>
      </c>
      <c r="S56" s="48">
        <f t="shared" ca="1" si="10"/>
        <v>0</v>
      </c>
    </row>
    <row r="57" spans="1:19" x14ac:dyDescent="0.25">
      <c r="N57" s="4">
        <f t="shared" si="5"/>
        <v>36</v>
      </c>
      <c r="O57" s="48">
        <f t="shared" ca="1" si="6"/>
        <v>0</v>
      </c>
      <c r="P57" s="48">
        <f t="shared" ca="1" si="7"/>
        <v>0</v>
      </c>
      <c r="Q57" s="48">
        <f t="shared" ca="1" si="8"/>
        <v>0</v>
      </c>
      <c r="R57" s="48">
        <f t="shared" ca="1" si="9"/>
        <v>0</v>
      </c>
      <c r="S57" s="48">
        <f t="shared" ca="1" si="10"/>
        <v>0</v>
      </c>
    </row>
    <row r="58" spans="1:19" x14ac:dyDescent="0.25">
      <c r="N58" s="4">
        <f t="shared" si="5"/>
        <v>37</v>
      </c>
      <c r="O58" s="48">
        <f t="shared" ca="1" si="6"/>
        <v>0</v>
      </c>
      <c r="P58" s="48">
        <f t="shared" ca="1" si="7"/>
        <v>0</v>
      </c>
      <c r="Q58" s="48">
        <f t="shared" ca="1" si="8"/>
        <v>0</v>
      </c>
      <c r="R58" s="48">
        <f t="shared" ca="1" si="9"/>
        <v>0</v>
      </c>
      <c r="S58" s="48">
        <f t="shared" ca="1" si="10"/>
        <v>0</v>
      </c>
    </row>
    <row r="59" spans="1:19" x14ac:dyDescent="0.25">
      <c r="N59" s="4">
        <f t="shared" si="5"/>
        <v>38</v>
      </c>
      <c r="O59" s="48">
        <f t="shared" ca="1" si="6"/>
        <v>0</v>
      </c>
      <c r="P59" s="48">
        <f t="shared" ca="1" si="7"/>
        <v>0</v>
      </c>
      <c r="Q59" s="48">
        <f t="shared" ca="1" si="8"/>
        <v>0</v>
      </c>
      <c r="R59" s="48">
        <f t="shared" ca="1" si="9"/>
        <v>0</v>
      </c>
      <c r="S59" s="48">
        <f t="shared" ca="1" si="10"/>
        <v>0</v>
      </c>
    </row>
    <row r="60" spans="1:19" x14ac:dyDescent="0.25">
      <c r="N60" s="4">
        <f t="shared" si="5"/>
        <v>39</v>
      </c>
      <c r="O60" s="48">
        <f t="shared" ca="1" si="6"/>
        <v>0</v>
      </c>
      <c r="P60" s="48">
        <f t="shared" ca="1" si="7"/>
        <v>0</v>
      </c>
      <c r="Q60" s="48">
        <f t="shared" ca="1" si="8"/>
        <v>0</v>
      </c>
      <c r="R60" s="48">
        <f t="shared" ca="1" si="9"/>
        <v>0</v>
      </c>
      <c r="S60" s="48">
        <f t="shared" ca="1" si="10"/>
        <v>0</v>
      </c>
    </row>
    <row r="61" spans="1:19" x14ac:dyDescent="0.25">
      <c r="N61" s="4">
        <f t="shared" si="5"/>
        <v>40</v>
      </c>
      <c r="O61" s="48">
        <f t="shared" ca="1" si="6"/>
        <v>0</v>
      </c>
      <c r="P61" s="48">
        <f t="shared" ca="1" si="7"/>
        <v>0</v>
      </c>
      <c r="Q61" s="48">
        <f t="shared" ca="1" si="8"/>
        <v>0</v>
      </c>
      <c r="R61" s="48">
        <f t="shared" ca="1" si="9"/>
        <v>0</v>
      </c>
      <c r="S61" s="48">
        <f t="shared" ca="1" si="10"/>
        <v>0</v>
      </c>
    </row>
    <row r="62" spans="1:19" x14ac:dyDescent="0.25">
      <c r="N62" s="4">
        <f t="shared" si="5"/>
        <v>41</v>
      </c>
      <c r="O62" s="48">
        <f t="shared" ca="1" si="6"/>
        <v>0</v>
      </c>
      <c r="P62" s="48">
        <f t="shared" ca="1" si="7"/>
        <v>0</v>
      </c>
      <c r="Q62" s="48">
        <f t="shared" ca="1" si="8"/>
        <v>0</v>
      </c>
      <c r="R62" s="48">
        <f t="shared" ca="1" si="9"/>
        <v>0</v>
      </c>
      <c r="S62" s="48">
        <f t="shared" ca="1" si="10"/>
        <v>0</v>
      </c>
    </row>
    <row r="63" spans="1:19" x14ac:dyDescent="0.25">
      <c r="N63" s="4">
        <f t="shared" si="5"/>
        <v>42</v>
      </c>
      <c r="O63" s="48">
        <f t="shared" ca="1" si="6"/>
        <v>0</v>
      </c>
      <c r="P63" s="48">
        <f t="shared" ca="1" si="7"/>
        <v>0</v>
      </c>
      <c r="Q63" s="48">
        <f t="shared" ca="1" si="8"/>
        <v>0</v>
      </c>
      <c r="R63" s="48">
        <f t="shared" ca="1" si="9"/>
        <v>0</v>
      </c>
      <c r="S63" s="48">
        <f t="shared" ca="1" si="10"/>
        <v>0</v>
      </c>
    </row>
    <row r="64" spans="1:19" x14ac:dyDescent="0.25">
      <c r="N64" s="4">
        <f t="shared" si="5"/>
        <v>43</v>
      </c>
      <c r="O64" s="48">
        <f t="shared" ca="1" si="6"/>
        <v>0</v>
      </c>
      <c r="P64" s="48">
        <f t="shared" ca="1" si="7"/>
        <v>0</v>
      </c>
      <c r="Q64" s="48">
        <f t="shared" ca="1" si="8"/>
        <v>0</v>
      </c>
      <c r="R64" s="48">
        <f t="shared" ca="1" si="9"/>
        <v>0</v>
      </c>
      <c r="S64" s="48">
        <f t="shared" ca="1" si="10"/>
        <v>0</v>
      </c>
    </row>
    <row r="65" spans="14:19" x14ac:dyDescent="0.25">
      <c r="N65" s="4">
        <f t="shared" si="5"/>
        <v>44</v>
      </c>
      <c r="O65" s="48">
        <f t="shared" ca="1" si="6"/>
        <v>0</v>
      </c>
      <c r="P65" s="48">
        <f t="shared" ca="1" si="7"/>
        <v>0</v>
      </c>
      <c r="Q65" s="48">
        <f t="shared" ca="1" si="8"/>
        <v>0</v>
      </c>
      <c r="R65" s="48">
        <f t="shared" ca="1" si="9"/>
        <v>0</v>
      </c>
      <c r="S65" s="48">
        <f t="shared" ca="1" si="10"/>
        <v>0</v>
      </c>
    </row>
    <row r="66" spans="14:19" x14ac:dyDescent="0.25">
      <c r="N66" s="4">
        <f t="shared" si="5"/>
        <v>45</v>
      </c>
      <c r="O66" s="48">
        <f t="shared" ca="1" si="6"/>
        <v>0</v>
      </c>
      <c r="P66" s="48">
        <f t="shared" ca="1" si="7"/>
        <v>0</v>
      </c>
      <c r="Q66" s="48">
        <f t="shared" ca="1" si="8"/>
        <v>0</v>
      </c>
      <c r="R66" s="48">
        <f t="shared" ca="1" si="9"/>
        <v>0</v>
      </c>
      <c r="S66" s="48">
        <f t="shared" ca="1" si="10"/>
        <v>0</v>
      </c>
    </row>
    <row r="67" spans="14:19" x14ac:dyDescent="0.25">
      <c r="N67" s="4">
        <f t="shared" si="5"/>
        <v>46</v>
      </c>
      <c r="O67" s="48">
        <f t="shared" ca="1" si="6"/>
        <v>0</v>
      </c>
      <c r="P67" s="48">
        <f t="shared" ca="1" si="7"/>
        <v>0</v>
      </c>
      <c r="Q67" s="48">
        <f t="shared" ca="1" si="8"/>
        <v>0</v>
      </c>
      <c r="R67" s="48">
        <f t="shared" ca="1" si="9"/>
        <v>0</v>
      </c>
      <c r="S67" s="48">
        <f t="shared" ca="1" si="10"/>
        <v>0</v>
      </c>
    </row>
    <row r="68" spans="14:19" x14ac:dyDescent="0.25">
      <c r="N68" s="4">
        <f t="shared" si="5"/>
        <v>47</v>
      </c>
      <c r="O68" s="48">
        <f t="shared" ca="1" si="6"/>
        <v>0</v>
      </c>
      <c r="P68" s="48">
        <f t="shared" ca="1" si="7"/>
        <v>0</v>
      </c>
      <c r="Q68" s="48">
        <f t="shared" ca="1" si="8"/>
        <v>0</v>
      </c>
      <c r="R68" s="48">
        <f t="shared" ca="1" si="9"/>
        <v>0</v>
      </c>
      <c r="S68" s="48">
        <f t="shared" ca="1" si="10"/>
        <v>0</v>
      </c>
    </row>
    <row r="69" spans="14:19" x14ac:dyDescent="0.25">
      <c r="N69" s="4">
        <f t="shared" si="5"/>
        <v>48</v>
      </c>
      <c r="O69" s="48">
        <f t="shared" ca="1" si="6"/>
        <v>0</v>
      </c>
      <c r="P69" s="48">
        <f t="shared" ca="1" si="7"/>
        <v>0</v>
      </c>
      <c r="Q69" s="48">
        <f t="shared" ca="1" si="8"/>
        <v>0</v>
      </c>
      <c r="R69" s="48">
        <f t="shared" ca="1" si="9"/>
        <v>0</v>
      </c>
      <c r="S69" s="48">
        <f t="shared" ca="1" si="10"/>
        <v>0</v>
      </c>
    </row>
    <row r="70" spans="14:19" x14ac:dyDescent="0.25">
      <c r="N70" s="4">
        <f t="shared" si="5"/>
        <v>49</v>
      </c>
      <c r="O70" s="48">
        <f t="shared" ca="1" si="6"/>
        <v>0</v>
      </c>
      <c r="P70" s="48">
        <f t="shared" ca="1" si="7"/>
        <v>0</v>
      </c>
      <c r="Q70" s="48">
        <f t="shared" ca="1" si="8"/>
        <v>0</v>
      </c>
      <c r="R70" s="48">
        <f t="shared" ca="1" si="9"/>
        <v>0</v>
      </c>
      <c r="S70" s="48">
        <f t="shared" ca="1" si="10"/>
        <v>0</v>
      </c>
    </row>
    <row r="71" spans="14:19" x14ac:dyDescent="0.25">
      <c r="N71" s="4">
        <f t="shared" si="5"/>
        <v>50</v>
      </c>
      <c r="O71" s="48">
        <f t="shared" ca="1" si="6"/>
        <v>0</v>
      </c>
      <c r="P71" s="48">
        <f t="shared" ca="1" si="7"/>
        <v>0</v>
      </c>
      <c r="Q71" s="48">
        <f t="shared" ca="1" si="8"/>
        <v>0</v>
      </c>
      <c r="R71" s="48">
        <f t="shared" ca="1" si="9"/>
        <v>0</v>
      </c>
      <c r="S71" s="48">
        <f t="shared" ca="1" si="10"/>
        <v>0</v>
      </c>
    </row>
    <row r="72" spans="14:19" x14ac:dyDescent="0.25">
      <c r="N72" s="4">
        <f t="shared" si="5"/>
        <v>51</v>
      </c>
      <c r="O72" s="48">
        <f t="shared" ca="1" si="6"/>
        <v>0</v>
      </c>
      <c r="P72" s="48">
        <f t="shared" ca="1" si="7"/>
        <v>0</v>
      </c>
      <c r="Q72" s="48">
        <f t="shared" ca="1" si="8"/>
        <v>0</v>
      </c>
      <c r="R72" s="48">
        <f t="shared" ca="1" si="9"/>
        <v>0</v>
      </c>
      <c r="S72" s="48">
        <f t="shared" ca="1" si="10"/>
        <v>0</v>
      </c>
    </row>
    <row r="73" spans="14:19" x14ac:dyDescent="0.25">
      <c r="N73" s="4">
        <f t="shared" si="5"/>
        <v>52</v>
      </c>
      <c r="O73" s="48">
        <f t="shared" ca="1" si="6"/>
        <v>0</v>
      </c>
      <c r="P73" s="48">
        <f t="shared" ca="1" si="7"/>
        <v>0</v>
      </c>
      <c r="Q73" s="48">
        <f t="shared" ca="1" si="8"/>
        <v>0</v>
      </c>
      <c r="R73" s="48">
        <f t="shared" ca="1" si="9"/>
        <v>0</v>
      </c>
      <c r="S73" s="48">
        <f t="shared" ca="1" si="10"/>
        <v>0</v>
      </c>
    </row>
    <row r="74" spans="14:19" x14ac:dyDescent="0.25">
      <c r="N74" s="4">
        <f t="shared" si="5"/>
        <v>53</v>
      </c>
      <c r="O74" s="48">
        <f t="shared" ca="1" si="6"/>
        <v>0</v>
      </c>
      <c r="P74" s="48">
        <f t="shared" ca="1" si="7"/>
        <v>0</v>
      </c>
      <c r="Q74" s="48">
        <f t="shared" ca="1" si="8"/>
        <v>0</v>
      </c>
      <c r="R74" s="48">
        <f t="shared" ca="1" si="9"/>
        <v>0</v>
      </c>
      <c r="S74" s="48">
        <f t="shared" ca="1" si="10"/>
        <v>0</v>
      </c>
    </row>
    <row r="75" spans="14:19" x14ac:dyDescent="0.25">
      <c r="N75" s="4">
        <f t="shared" si="5"/>
        <v>54</v>
      </c>
      <c r="O75" s="48">
        <f t="shared" ca="1" si="6"/>
        <v>0</v>
      </c>
      <c r="P75" s="48">
        <f t="shared" ca="1" si="7"/>
        <v>0</v>
      </c>
      <c r="Q75" s="48">
        <f t="shared" ca="1" si="8"/>
        <v>0</v>
      </c>
      <c r="R75" s="48">
        <f t="shared" ca="1" si="9"/>
        <v>0</v>
      </c>
      <c r="S75" s="48">
        <f t="shared" ca="1" si="10"/>
        <v>0</v>
      </c>
    </row>
    <row r="76" spans="14:19" x14ac:dyDescent="0.25">
      <c r="N76" s="4">
        <f t="shared" si="5"/>
        <v>55</v>
      </c>
      <c r="O76" s="48">
        <f t="shared" ca="1" si="6"/>
        <v>0</v>
      </c>
      <c r="P76" s="48">
        <f t="shared" ca="1" si="7"/>
        <v>0</v>
      </c>
      <c r="Q76" s="48">
        <f t="shared" ca="1" si="8"/>
        <v>0</v>
      </c>
      <c r="R76" s="48">
        <f t="shared" ca="1" si="9"/>
        <v>0</v>
      </c>
      <c r="S76" s="48">
        <f t="shared" ca="1" si="10"/>
        <v>0</v>
      </c>
    </row>
    <row r="77" spans="14:19" x14ac:dyDescent="0.25">
      <c r="N77" s="4">
        <f t="shared" si="5"/>
        <v>56</v>
      </c>
      <c r="O77" s="48">
        <f t="shared" ca="1" si="6"/>
        <v>0</v>
      </c>
      <c r="P77" s="48">
        <f t="shared" ca="1" si="7"/>
        <v>0</v>
      </c>
      <c r="Q77" s="48">
        <f t="shared" ca="1" si="8"/>
        <v>0</v>
      </c>
      <c r="R77" s="48">
        <f t="shared" ca="1" si="9"/>
        <v>0</v>
      </c>
      <c r="S77" s="48">
        <f t="shared" ca="1" si="10"/>
        <v>0</v>
      </c>
    </row>
    <row r="78" spans="14:19" x14ac:dyDescent="0.25">
      <c r="N78" s="4">
        <f t="shared" si="5"/>
        <v>57</v>
      </c>
      <c r="O78" s="48">
        <f t="shared" ca="1" si="6"/>
        <v>0</v>
      </c>
      <c r="P78" s="48">
        <f t="shared" ca="1" si="7"/>
        <v>0</v>
      </c>
      <c r="Q78" s="48">
        <f t="shared" ca="1" si="8"/>
        <v>0</v>
      </c>
      <c r="R78" s="48">
        <f t="shared" ca="1" si="9"/>
        <v>0</v>
      </c>
      <c r="S78" s="48">
        <f t="shared" ca="1" si="10"/>
        <v>0</v>
      </c>
    </row>
    <row r="79" spans="14:19" x14ac:dyDescent="0.25">
      <c r="N79" s="4">
        <f t="shared" si="5"/>
        <v>58</v>
      </c>
      <c r="O79" s="48">
        <f t="shared" ca="1" si="6"/>
        <v>0</v>
      </c>
      <c r="P79" s="48">
        <f t="shared" ca="1" si="7"/>
        <v>0</v>
      </c>
      <c r="Q79" s="48">
        <f t="shared" ca="1" si="8"/>
        <v>0</v>
      </c>
      <c r="R79" s="48">
        <f t="shared" ca="1" si="9"/>
        <v>0</v>
      </c>
      <c r="S79" s="48">
        <f t="shared" ca="1" si="10"/>
        <v>0</v>
      </c>
    </row>
    <row r="80" spans="14:19" x14ac:dyDescent="0.25">
      <c r="N80" s="4">
        <f t="shared" si="5"/>
        <v>59</v>
      </c>
      <c r="O80" s="48">
        <f t="shared" ca="1" si="6"/>
        <v>0</v>
      </c>
      <c r="P80" s="48">
        <f t="shared" ca="1" si="7"/>
        <v>0</v>
      </c>
      <c r="Q80" s="48">
        <f t="shared" ca="1" si="8"/>
        <v>0</v>
      </c>
      <c r="R80" s="48">
        <f t="shared" ca="1" si="9"/>
        <v>0</v>
      </c>
      <c r="S80" s="48">
        <f t="shared" ca="1" si="10"/>
        <v>0</v>
      </c>
    </row>
    <row r="81" spans="14:19" x14ac:dyDescent="0.25">
      <c r="N81" s="4">
        <f t="shared" si="5"/>
        <v>60</v>
      </c>
      <c r="O81" s="48">
        <f t="shared" ca="1" si="6"/>
        <v>0</v>
      </c>
      <c r="P81" s="48">
        <f t="shared" ca="1" si="7"/>
        <v>0</v>
      </c>
      <c r="Q81" s="48">
        <f t="shared" ca="1" si="8"/>
        <v>0</v>
      </c>
      <c r="R81" s="48">
        <f t="shared" ca="1" si="9"/>
        <v>0</v>
      </c>
      <c r="S81" s="48">
        <f t="shared" ca="1" si="10"/>
        <v>0</v>
      </c>
    </row>
    <row r="82" spans="14:19" x14ac:dyDescent="0.25">
      <c r="N82" s="4">
        <f t="shared" si="5"/>
        <v>61</v>
      </c>
      <c r="O82" s="48">
        <f t="shared" ca="1" si="6"/>
        <v>0</v>
      </c>
      <c r="P82" s="48">
        <f t="shared" ca="1" si="7"/>
        <v>0</v>
      </c>
      <c r="Q82" s="48">
        <f t="shared" ca="1" si="8"/>
        <v>0</v>
      </c>
      <c r="R82" s="48">
        <f t="shared" ca="1" si="9"/>
        <v>0</v>
      </c>
      <c r="S82" s="48">
        <f t="shared" ca="1" si="10"/>
        <v>0</v>
      </c>
    </row>
    <row r="83" spans="14:19" x14ac:dyDescent="0.25">
      <c r="N83" s="4">
        <f t="shared" si="5"/>
        <v>62</v>
      </c>
      <c r="O83" s="48">
        <f t="shared" ca="1" si="6"/>
        <v>0</v>
      </c>
      <c r="P83" s="48">
        <f t="shared" ca="1" si="7"/>
        <v>0</v>
      </c>
      <c r="Q83" s="48">
        <f t="shared" ca="1" si="8"/>
        <v>0</v>
      </c>
      <c r="R83" s="48">
        <f t="shared" ca="1" si="9"/>
        <v>0</v>
      </c>
      <c r="S83" s="48">
        <f t="shared" ca="1" si="10"/>
        <v>0</v>
      </c>
    </row>
    <row r="84" spans="14:19" x14ac:dyDescent="0.25">
      <c r="N84" s="4">
        <f t="shared" si="5"/>
        <v>63</v>
      </c>
      <c r="O84" s="48">
        <f t="shared" ca="1" si="6"/>
        <v>0</v>
      </c>
      <c r="P84" s="48">
        <f t="shared" ca="1" si="7"/>
        <v>0</v>
      </c>
      <c r="Q84" s="48">
        <f t="shared" ca="1" si="8"/>
        <v>0</v>
      </c>
      <c r="R84" s="48">
        <f t="shared" ca="1" si="9"/>
        <v>0</v>
      </c>
      <c r="S84" s="48">
        <f t="shared" ca="1" si="10"/>
        <v>0</v>
      </c>
    </row>
    <row r="85" spans="14:19" x14ac:dyDescent="0.25">
      <c r="N85" s="4">
        <f t="shared" si="5"/>
        <v>64</v>
      </c>
      <c r="O85" s="48">
        <f t="shared" ca="1" si="6"/>
        <v>0</v>
      </c>
      <c r="P85" s="48">
        <f t="shared" ca="1" si="7"/>
        <v>0</v>
      </c>
      <c r="Q85" s="48">
        <f t="shared" ca="1" si="8"/>
        <v>0</v>
      </c>
      <c r="R85" s="48">
        <f t="shared" ca="1" si="9"/>
        <v>0</v>
      </c>
      <c r="S85" s="48">
        <f t="shared" ca="1" si="10"/>
        <v>0</v>
      </c>
    </row>
    <row r="86" spans="14:19" x14ac:dyDescent="0.25">
      <c r="N86" s="4">
        <f t="shared" si="5"/>
        <v>65</v>
      </c>
      <c r="O86" s="48">
        <f t="shared" ref="O86:O117" ca="1" si="11">IF(OFFSET(BTCODE,N86-1,0)&lt;&gt;0,CONCATENATE(OFFSET(BTCODE,N86-1,0)," ",OFFSET(BTCODE,N86-1,1)),0)</f>
        <v>0</v>
      </c>
      <c r="P86" s="48">
        <f t="shared" ref="P86:P120" ca="1" si="12">OFFSET(BTCODE,N86-1,2)</f>
        <v>0</v>
      </c>
      <c r="Q86" s="48">
        <f t="shared" ref="Q86:Q120" ca="1" si="13">OFFSET(BTCODE,N86-1,3)</f>
        <v>0</v>
      </c>
      <c r="R86" s="48">
        <f t="shared" ref="R86:R120" ca="1" si="14">OFFSET(BTCODE,N86-1,4)</f>
        <v>0</v>
      </c>
      <c r="S86" s="48">
        <f t="shared" ref="S86:S120" ca="1" si="15">OFFSET(BTCODE,N86-1,5)</f>
        <v>0</v>
      </c>
    </row>
    <row r="87" spans="14:19" x14ac:dyDescent="0.25">
      <c r="N87" s="4">
        <f t="shared" si="5"/>
        <v>66</v>
      </c>
      <c r="O87" s="48">
        <f t="shared" ca="1" si="11"/>
        <v>0</v>
      </c>
      <c r="P87" s="48">
        <f t="shared" ca="1" si="12"/>
        <v>0</v>
      </c>
      <c r="Q87" s="48">
        <f t="shared" ca="1" si="13"/>
        <v>0</v>
      </c>
      <c r="R87" s="48">
        <f t="shared" ca="1" si="14"/>
        <v>0</v>
      </c>
      <c r="S87" s="48">
        <f t="shared" ca="1" si="15"/>
        <v>0</v>
      </c>
    </row>
    <row r="88" spans="14:19" x14ac:dyDescent="0.25">
      <c r="N88" s="4">
        <f t="shared" ref="N88:N120" si="16">N87+1</f>
        <v>67</v>
      </c>
      <c r="O88" s="48">
        <f t="shared" ca="1" si="11"/>
        <v>0</v>
      </c>
      <c r="P88" s="48">
        <f t="shared" ca="1" si="12"/>
        <v>0</v>
      </c>
      <c r="Q88" s="48">
        <f t="shared" ca="1" si="13"/>
        <v>0</v>
      </c>
      <c r="R88" s="48">
        <f t="shared" ca="1" si="14"/>
        <v>0</v>
      </c>
      <c r="S88" s="48">
        <f t="shared" ca="1" si="15"/>
        <v>0</v>
      </c>
    </row>
    <row r="89" spans="14:19" x14ac:dyDescent="0.25">
      <c r="N89" s="4">
        <f t="shared" si="16"/>
        <v>68</v>
      </c>
      <c r="O89" s="48">
        <f t="shared" ca="1" si="11"/>
        <v>0</v>
      </c>
      <c r="P89" s="48">
        <f t="shared" ca="1" si="12"/>
        <v>0</v>
      </c>
      <c r="Q89" s="48">
        <f t="shared" ca="1" si="13"/>
        <v>0</v>
      </c>
      <c r="R89" s="48">
        <f t="shared" ca="1" si="14"/>
        <v>0</v>
      </c>
      <c r="S89" s="48">
        <f t="shared" ca="1" si="15"/>
        <v>0</v>
      </c>
    </row>
    <row r="90" spans="14:19" x14ac:dyDescent="0.25">
      <c r="N90" s="4">
        <f t="shared" si="16"/>
        <v>69</v>
      </c>
      <c r="O90" s="48">
        <f t="shared" ca="1" si="11"/>
        <v>0</v>
      </c>
      <c r="P90" s="48">
        <f t="shared" ca="1" si="12"/>
        <v>0</v>
      </c>
      <c r="Q90" s="48">
        <f t="shared" ca="1" si="13"/>
        <v>0</v>
      </c>
      <c r="R90" s="48">
        <f t="shared" ca="1" si="14"/>
        <v>0</v>
      </c>
      <c r="S90" s="48">
        <f t="shared" ca="1" si="15"/>
        <v>0</v>
      </c>
    </row>
    <row r="91" spans="14:19" x14ac:dyDescent="0.25">
      <c r="N91" s="4">
        <f t="shared" si="16"/>
        <v>70</v>
      </c>
      <c r="O91" s="48">
        <f t="shared" ca="1" si="11"/>
        <v>0</v>
      </c>
      <c r="P91" s="48">
        <f t="shared" ca="1" si="12"/>
        <v>0</v>
      </c>
      <c r="Q91" s="48">
        <f t="shared" ca="1" si="13"/>
        <v>0</v>
      </c>
      <c r="R91" s="48">
        <f t="shared" ca="1" si="14"/>
        <v>0</v>
      </c>
      <c r="S91" s="48">
        <f t="shared" ca="1" si="15"/>
        <v>0</v>
      </c>
    </row>
    <row r="92" spans="14:19" x14ac:dyDescent="0.25">
      <c r="N92" s="4">
        <f t="shared" si="16"/>
        <v>71</v>
      </c>
      <c r="O92" s="48">
        <f t="shared" ca="1" si="11"/>
        <v>0</v>
      </c>
      <c r="P92" s="48">
        <f t="shared" ca="1" si="12"/>
        <v>0</v>
      </c>
      <c r="Q92" s="48">
        <f t="shared" ca="1" si="13"/>
        <v>0</v>
      </c>
      <c r="R92" s="48">
        <f t="shared" ca="1" si="14"/>
        <v>0</v>
      </c>
      <c r="S92" s="48">
        <f t="shared" ca="1" si="15"/>
        <v>0</v>
      </c>
    </row>
    <row r="93" spans="14:19" x14ac:dyDescent="0.25">
      <c r="N93" s="4">
        <f t="shared" si="16"/>
        <v>72</v>
      </c>
      <c r="O93" s="48">
        <f t="shared" ca="1" si="11"/>
        <v>0</v>
      </c>
      <c r="P93" s="48">
        <f t="shared" ca="1" si="12"/>
        <v>0</v>
      </c>
      <c r="Q93" s="48">
        <f t="shared" ca="1" si="13"/>
        <v>0</v>
      </c>
      <c r="R93" s="48">
        <f t="shared" ca="1" si="14"/>
        <v>0</v>
      </c>
      <c r="S93" s="48">
        <f t="shared" ca="1" si="15"/>
        <v>0</v>
      </c>
    </row>
    <row r="94" spans="14:19" x14ac:dyDescent="0.25">
      <c r="N94" s="4">
        <f t="shared" si="16"/>
        <v>73</v>
      </c>
      <c r="O94" s="48">
        <f t="shared" ca="1" si="11"/>
        <v>0</v>
      </c>
      <c r="P94" s="48">
        <f t="shared" ca="1" si="12"/>
        <v>0</v>
      </c>
      <c r="Q94" s="48">
        <f t="shared" ca="1" si="13"/>
        <v>0</v>
      </c>
      <c r="R94" s="48">
        <f t="shared" ca="1" si="14"/>
        <v>0</v>
      </c>
      <c r="S94" s="48">
        <f t="shared" ca="1" si="15"/>
        <v>0</v>
      </c>
    </row>
    <row r="95" spans="14:19" x14ac:dyDescent="0.25">
      <c r="N95" s="4">
        <f t="shared" si="16"/>
        <v>74</v>
      </c>
      <c r="O95" s="48">
        <f t="shared" ca="1" si="11"/>
        <v>0</v>
      </c>
      <c r="P95" s="48">
        <f t="shared" ca="1" si="12"/>
        <v>0</v>
      </c>
      <c r="Q95" s="48">
        <f t="shared" ca="1" si="13"/>
        <v>0</v>
      </c>
      <c r="R95" s="48">
        <f t="shared" ca="1" si="14"/>
        <v>0</v>
      </c>
      <c r="S95" s="48">
        <f t="shared" ca="1" si="15"/>
        <v>0</v>
      </c>
    </row>
    <row r="96" spans="14:19" x14ac:dyDescent="0.25">
      <c r="N96" s="4">
        <f t="shared" si="16"/>
        <v>75</v>
      </c>
      <c r="O96" s="48">
        <f t="shared" ca="1" si="11"/>
        <v>0</v>
      </c>
      <c r="P96" s="48">
        <f t="shared" ca="1" si="12"/>
        <v>0</v>
      </c>
      <c r="Q96" s="48">
        <f t="shared" ca="1" si="13"/>
        <v>0</v>
      </c>
      <c r="R96" s="48">
        <f t="shared" ca="1" si="14"/>
        <v>0</v>
      </c>
      <c r="S96" s="48">
        <f t="shared" ca="1" si="15"/>
        <v>0</v>
      </c>
    </row>
    <row r="97" spans="14:19" x14ac:dyDescent="0.25">
      <c r="N97" s="4">
        <f t="shared" si="16"/>
        <v>76</v>
      </c>
      <c r="O97" s="48">
        <f t="shared" ca="1" si="11"/>
        <v>0</v>
      </c>
      <c r="P97" s="48">
        <f t="shared" ca="1" si="12"/>
        <v>0</v>
      </c>
      <c r="Q97" s="48">
        <f t="shared" ca="1" si="13"/>
        <v>0</v>
      </c>
      <c r="R97" s="48">
        <f t="shared" ca="1" si="14"/>
        <v>0</v>
      </c>
      <c r="S97" s="48">
        <f t="shared" ca="1" si="15"/>
        <v>0</v>
      </c>
    </row>
    <row r="98" spans="14:19" x14ac:dyDescent="0.25">
      <c r="N98" s="4">
        <f t="shared" si="16"/>
        <v>77</v>
      </c>
      <c r="O98" s="48">
        <f t="shared" ca="1" si="11"/>
        <v>0</v>
      </c>
      <c r="P98" s="48">
        <f t="shared" ca="1" si="12"/>
        <v>0</v>
      </c>
      <c r="Q98" s="48">
        <f t="shared" ca="1" si="13"/>
        <v>0</v>
      </c>
      <c r="R98" s="48">
        <f t="shared" ca="1" si="14"/>
        <v>0</v>
      </c>
      <c r="S98" s="48">
        <f t="shared" ca="1" si="15"/>
        <v>0</v>
      </c>
    </row>
    <row r="99" spans="14:19" x14ac:dyDescent="0.25">
      <c r="N99" s="4">
        <f t="shared" si="16"/>
        <v>78</v>
      </c>
      <c r="O99" s="48">
        <f t="shared" ca="1" si="11"/>
        <v>0</v>
      </c>
      <c r="P99" s="48">
        <f t="shared" ca="1" si="12"/>
        <v>0</v>
      </c>
      <c r="Q99" s="48">
        <f t="shared" ca="1" si="13"/>
        <v>0</v>
      </c>
      <c r="R99" s="48">
        <f t="shared" ca="1" si="14"/>
        <v>0</v>
      </c>
      <c r="S99" s="48">
        <f t="shared" ca="1" si="15"/>
        <v>0</v>
      </c>
    </row>
    <row r="100" spans="14:19" x14ac:dyDescent="0.25">
      <c r="N100" s="4">
        <f t="shared" si="16"/>
        <v>79</v>
      </c>
      <c r="O100" s="48">
        <f t="shared" ca="1" si="11"/>
        <v>0</v>
      </c>
      <c r="P100" s="48">
        <f t="shared" ca="1" si="12"/>
        <v>0</v>
      </c>
      <c r="Q100" s="48">
        <f t="shared" ca="1" si="13"/>
        <v>0</v>
      </c>
      <c r="R100" s="48">
        <f t="shared" ca="1" si="14"/>
        <v>0</v>
      </c>
      <c r="S100" s="48">
        <f t="shared" ca="1" si="15"/>
        <v>0</v>
      </c>
    </row>
    <row r="101" spans="14:19" x14ac:dyDescent="0.25">
      <c r="N101" s="4">
        <f t="shared" si="16"/>
        <v>80</v>
      </c>
      <c r="O101" s="48">
        <f t="shared" ca="1" si="11"/>
        <v>0</v>
      </c>
      <c r="P101" s="48">
        <f t="shared" ca="1" si="12"/>
        <v>0</v>
      </c>
      <c r="Q101" s="48">
        <f t="shared" ca="1" si="13"/>
        <v>0</v>
      </c>
      <c r="R101" s="48">
        <f t="shared" ca="1" si="14"/>
        <v>0</v>
      </c>
      <c r="S101" s="48">
        <f t="shared" ca="1" si="15"/>
        <v>0</v>
      </c>
    </row>
    <row r="102" spans="14:19" x14ac:dyDescent="0.25">
      <c r="N102" s="4">
        <f t="shared" si="16"/>
        <v>81</v>
      </c>
      <c r="O102" s="48">
        <f t="shared" ca="1" si="11"/>
        <v>0</v>
      </c>
      <c r="P102" s="48">
        <f t="shared" ca="1" si="12"/>
        <v>0</v>
      </c>
      <c r="Q102" s="48">
        <f t="shared" ca="1" si="13"/>
        <v>0</v>
      </c>
      <c r="R102" s="48">
        <f t="shared" ca="1" si="14"/>
        <v>0</v>
      </c>
      <c r="S102" s="48">
        <f t="shared" ca="1" si="15"/>
        <v>0</v>
      </c>
    </row>
    <row r="103" spans="14:19" x14ac:dyDescent="0.25">
      <c r="N103" s="4">
        <f t="shared" si="16"/>
        <v>82</v>
      </c>
      <c r="O103" s="48">
        <f t="shared" ca="1" si="11"/>
        <v>0</v>
      </c>
      <c r="P103" s="48">
        <f t="shared" ca="1" si="12"/>
        <v>0</v>
      </c>
      <c r="Q103" s="48">
        <f t="shared" ca="1" si="13"/>
        <v>0</v>
      </c>
      <c r="R103" s="48">
        <f t="shared" ca="1" si="14"/>
        <v>0</v>
      </c>
      <c r="S103" s="48">
        <f t="shared" ca="1" si="15"/>
        <v>0</v>
      </c>
    </row>
    <row r="104" spans="14:19" x14ac:dyDescent="0.25">
      <c r="N104" s="4">
        <f t="shared" si="16"/>
        <v>83</v>
      </c>
      <c r="O104" s="48">
        <f t="shared" ca="1" si="11"/>
        <v>0</v>
      </c>
      <c r="P104" s="48">
        <f t="shared" ca="1" si="12"/>
        <v>0</v>
      </c>
      <c r="Q104" s="48">
        <f t="shared" ca="1" si="13"/>
        <v>0</v>
      </c>
      <c r="R104" s="48">
        <f t="shared" ca="1" si="14"/>
        <v>0</v>
      </c>
      <c r="S104" s="48">
        <f t="shared" ca="1" si="15"/>
        <v>0</v>
      </c>
    </row>
    <row r="105" spans="14:19" x14ac:dyDescent="0.25">
      <c r="N105" s="4">
        <f t="shared" si="16"/>
        <v>84</v>
      </c>
      <c r="O105" s="48">
        <f t="shared" ca="1" si="11"/>
        <v>0</v>
      </c>
      <c r="P105" s="48">
        <f t="shared" ca="1" si="12"/>
        <v>0</v>
      </c>
      <c r="Q105" s="48">
        <f t="shared" ca="1" si="13"/>
        <v>0</v>
      </c>
      <c r="R105" s="48">
        <f t="shared" ca="1" si="14"/>
        <v>0</v>
      </c>
      <c r="S105" s="48">
        <f t="shared" ca="1" si="15"/>
        <v>0</v>
      </c>
    </row>
    <row r="106" spans="14:19" x14ac:dyDescent="0.25">
      <c r="N106" s="4">
        <f t="shared" si="16"/>
        <v>85</v>
      </c>
      <c r="O106" s="48">
        <f t="shared" ca="1" si="11"/>
        <v>0</v>
      </c>
      <c r="P106" s="48">
        <f t="shared" ca="1" si="12"/>
        <v>0</v>
      </c>
      <c r="Q106" s="48">
        <f t="shared" ca="1" si="13"/>
        <v>0</v>
      </c>
      <c r="R106" s="48">
        <f t="shared" ca="1" si="14"/>
        <v>0</v>
      </c>
      <c r="S106" s="48">
        <f t="shared" ca="1" si="15"/>
        <v>0</v>
      </c>
    </row>
    <row r="107" spans="14:19" x14ac:dyDescent="0.25">
      <c r="N107" s="4">
        <f t="shared" si="16"/>
        <v>86</v>
      </c>
      <c r="O107" s="48">
        <f t="shared" ca="1" si="11"/>
        <v>0</v>
      </c>
      <c r="P107" s="48">
        <f t="shared" ca="1" si="12"/>
        <v>0</v>
      </c>
      <c r="Q107" s="48">
        <f t="shared" ca="1" si="13"/>
        <v>0</v>
      </c>
      <c r="R107" s="48">
        <f t="shared" ca="1" si="14"/>
        <v>0</v>
      </c>
      <c r="S107" s="48">
        <f t="shared" ca="1" si="15"/>
        <v>0</v>
      </c>
    </row>
    <row r="108" spans="14:19" x14ac:dyDescent="0.25">
      <c r="N108" s="4">
        <f t="shared" si="16"/>
        <v>87</v>
      </c>
      <c r="O108" s="48">
        <f t="shared" ca="1" si="11"/>
        <v>0</v>
      </c>
      <c r="P108" s="48">
        <f t="shared" ca="1" si="12"/>
        <v>0</v>
      </c>
      <c r="Q108" s="48">
        <f t="shared" ca="1" si="13"/>
        <v>0</v>
      </c>
      <c r="R108" s="48">
        <f t="shared" ca="1" si="14"/>
        <v>0</v>
      </c>
      <c r="S108" s="48">
        <f t="shared" ca="1" si="15"/>
        <v>0</v>
      </c>
    </row>
    <row r="109" spans="14:19" x14ac:dyDescent="0.25">
      <c r="N109" s="4">
        <f t="shared" si="16"/>
        <v>88</v>
      </c>
      <c r="O109" s="48">
        <f t="shared" ca="1" si="11"/>
        <v>0</v>
      </c>
      <c r="P109" s="48">
        <f t="shared" ca="1" si="12"/>
        <v>0</v>
      </c>
      <c r="Q109" s="48">
        <f t="shared" ca="1" si="13"/>
        <v>0</v>
      </c>
      <c r="R109" s="48">
        <f t="shared" ca="1" si="14"/>
        <v>0</v>
      </c>
      <c r="S109" s="48">
        <f t="shared" ca="1" si="15"/>
        <v>0</v>
      </c>
    </row>
    <row r="110" spans="14:19" x14ac:dyDescent="0.25">
      <c r="N110" s="4">
        <f t="shared" si="16"/>
        <v>89</v>
      </c>
      <c r="O110" s="48">
        <f t="shared" ca="1" si="11"/>
        <v>0</v>
      </c>
      <c r="P110" s="48">
        <f t="shared" ca="1" si="12"/>
        <v>0</v>
      </c>
      <c r="Q110" s="48">
        <f t="shared" ca="1" si="13"/>
        <v>0</v>
      </c>
      <c r="R110" s="48">
        <f t="shared" ca="1" si="14"/>
        <v>0</v>
      </c>
      <c r="S110" s="48">
        <f t="shared" ca="1" si="15"/>
        <v>0</v>
      </c>
    </row>
    <row r="111" spans="14:19" x14ac:dyDescent="0.25">
      <c r="N111" s="4">
        <f t="shared" si="16"/>
        <v>90</v>
      </c>
      <c r="O111" s="48">
        <f t="shared" ca="1" si="11"/>
        <v>0</v>
      </c>
      <c r="P111" s="48">
        <f t="shared" ca="1" si="12"/>
        <v>0</v>
      </c>
      <c r="Q111" s="48">
        <f t="shared" ca="1" si="13"/>
        <v>0</v>
      </c>
      <c r="R111" s="48">
        <f t="shared" ca="1" si="14"/>
        <v>0</v>
      </c>
      <c r="S111" s="48">
        <f t="shared" ca="1" si="15"/>
        <v>0</v>
      </c>
    </row>
    <row r="112" spans="14:19" x14ac:dyDescent="0.25">
      <c r="N112" s="4">
        <f t="shared" si="16"/>
        <v>91</v>
      </c>
      <c r="O112" s="48">
        <f t="shared" ca="1" si="11"/>
        <v>0</v>
      </c>
      <c r="P112" s="48">
        <f t="shared" ca="1" si="12"/>
        <v>0</v>
      </c>
      <c r="Q112" s="48">
        <f t="shared" ca="1" si="13"/>
        <v>0</v>
      </c>
      <c r="R112" s="48">
        <f t="shared" ca="1" si="14"/>
        <v>0</v>
      </c>
      <c r="S112" s="48">
        <f t="shared" ca="1" si="15"/>
        <v>0</v>
      </c>
    </row>
    <row r="113" spans="1:24" x14ac:dyDescent="0.25">
      <c r="N113" s="4">
        <f t="shared" si="16"/>
        <v>92</v>
      </c>
      <c r="O113" s="48">
        <f t="shared" ca="1" si="11"/>
        <v>0</v>
      </c>
      <c r="P113" s="48">
        <f t="shared" ca="1" si="12"/>
        <v>0</v>
      </c>
      <c r="Q113" s="48">
        <f t="shared" ca="1" si="13"/>
        <v>0</v>
      </c>
      <c r="R113" s="48">
        <f t="shared" ca="1" si="14"/>
        <v>0</v>
      </c>
      <c r="S113" s="48">
        <f t="shared" ca="1" si="15"/>
        <v>0</v>
      </c>
    </row>
    <row r="114" spans="1:24" x14ac:dyDescent="0.25">
      <c r="N114" s="4">
        <f t="shared" si="16"/>
        <v>93</v>
      </c>
      <c r="O114" s="48">
        <f t="shared" ca="1" si="11"/>
        <v>0</v>
      </c>
      <c r="P114" s="48">
        <f t="shared" ca="1" si="12"/>
        <v>0</v>
      </c>
      <c r="Q114" s="48">
        <f t="shared" ca="1" si="13"/>
        <v>0</v>
      </c>
      <c r="R114" s="48">
        <f t="shared" ca="1" si="14"/>
        <v>0</v>
      </c>
      <c r="S114" s="48">
        <f t="shared" ca="1" si="15"/>
        <v>0</v>
      </c>
    </row>
    <row r="115" spans="1:24" x14ac:dyDescent="0.25">
      <c r="N115" s="4">
        <f t="shared" si="16"/>
        <v>94</v>
      </c>
      <c r="O115" s="48">
        <f t="shared" ca="1" si="11"/>
        <v>0</v>
      </c>
      <c r="P115" s="48">
        <f t="shared" ca="1" si="12"/>
        <v>0</v>
      </c>
      <c r="Q115" s="48">
        <f t="shared" ca="1" si="13"/>
        <v>0</v>
      </c>
      <c r="R115" s="48">
        <f t="shared" ca="1" si="14"/>
        <v>0</v>
      </c>
      <c r="S115" s="48">
        <f t="shared" ca="1" si="15"/>
        <v>0</v>
      </c>
    </row>
    <row r="116" spans="1:24" x14ac:dyDescent="0.25">
      <c r="N116" s="4">
        <f t="shared" si="16"/>
        <v>95</v>
      </c>
      <c r="O116" s="48">
        <f t="shared" ca="1" si="11"/>
        <v>0</v>
      </c>
      <c r="P116" s="48">
        <f t="shared" ca="1" si="12"/>
        <v>0</v>
      </c>
      <c r="Q116" s="48">
        <f t="shared" ca="1" si="13"/>
        <v>0</v>
      </c>
      <c r="R116" s="48">
        <f t="shared" ca="1" si="14"/>
        <v>0</v>
      </c>
      <c r="S116" s="48">
        <f t="shared" ca="1" si="15"/>
        <v>0</v>
      </c>
    </row>
    <row r="117" spans="1:24" x14ac:dyDescent="0.25">
      <c r="N117" s="4">
        <f t="shared" si="16"/>
        <v>96</v>
      </c>
      <c r="O117" s="48">
        <f t="shared" ca="1" si="11"/>
        <v>0</v>
      </c>
      <c r="P117" s="48">
        <f t="shared" ca="1" si="12"/>
        <v>0</v>
      </c>
      <c r="Q117" s="48">
        <f t="shared" ca="1" si="13"/>
        <v>0</v>
      </c>
      <c r="R117" s="48">
        <f t="shared" ca="1" si="14"/>
        <v>0</v>
      </c>
      <c r="S117" s="48">
        <f t="shared" ca="1" si="15"/>
        <v>0</v>
      </c>
    </row>
    <row r="118" spans="1:24" x14ac:dyDescent="0.25">
      <c r="N118" s="4">
        <f t="shared" si="16"/>
        <v>97</v>
      </c>
      <c r="O118" s="48">
        <f t="shared" ref="O118:O120" ca="1" si="17">IF(OFFSET(BTCODE,N118-1,0)&lt;&gt;0,CONCATENATE(OFFSET(BTCODE,N118-1,0)," ",OFFSET(BTCODE,N118-1,1)),0)</f>
        <v>0</v>
      </c>
      <c r="P118" s="48">
        <f t="shared" ca="1" si="12"/>
        <v>0</v>
      </c>
      <c r="Q118" s="48">
        <f t="shared" ca="1" si="13"/>
        <v>0</v>
      </c>
      <c r="R118" s="48">
        <f t="shared" ca="1" si="14"/>
        <v>0</v>
      </c>
      <c r="S118" s="48">
        <f t="shared" ca="1" si="15"/>
        <v>0</v>
      </c>
    </row>
    <row r="119" spans="1:24" x14ac:dyDescent="0.25">
      <c r="N119" s="4">
        <f t="shared" si="16"/>
        <v>98</v>
      </c>
      <c r="O119" s="48">
        <f t="shared" ca="1" si="17"/>
        <v>0</v>
      </c>
      <c r="P119" s="48">
        <f t="shared" ca="1" si="12"/>
        <v>0</v>
      </c>
      <c r="Q119" s="48">
        <f t="shared" ca="1" si="13"/>
        <v>0</v>
      </c>
      <c r="R119" s="48">
        <f t="shared" ca="1" si="14"/>
        <v>0</v>
      </c>
      <c r="S119" s="48">
        <f t="shared" ca="1" si="15"/>
        <v>0</v>
      </c>
    </row>
    <row r="120" spans="1:24" x14ac:dyDescent="0.25">
      <c r="N120" s="4">
        <f t="shared" si="16"/>
        <v>99</v>
      </c>
      <c r="O120" s="48">
        <f t="shared" ca="1" si="17"/>
        <v>0</v>
      </c>
      <c r="P120" s="48">
        <f t="shared" ca="1" si="12"/>
        <v>0</v>
      </c>
      <c r="Q120" s="48">
        <f t="shared" ca="1" si="13"/>
        <v>0</v>
      </c>
      <c r="R120" s="48">
        <f t="shared" ca="1" si="14"/>
        <v>0</v>
      </c>
      <c r="S120" s="48">
        <f t="shared" ca="1" si="15"/>
        <v>0</v>
      </c>
    </row>
    <row r="121" spans="1:24" x14ac:dyDescent="0.25">
      <c r="N121" s="4"/>
    </row>
    <row r="122" spans="1:24" x14ac:dyDescent="0.25">
      <c r="A122" t="s">
        <v>299</v>
      </c>
      <c r="U122" t="s">
        <v>300</v>
      </c>
    </row>
    <row r="123" spans="1:24" x14ac:dyDescent="0.25">
      <c r="U123" s="51" t="s">
        <v>112</v>
      </c>
      <c r="V123" s="53"/>
      <c r="W123" s="69">
        <f>W124+W125+W126+W127</f>
        <v>1557.712</v>
      </c>
      <c r="X123" s="53" t="s">
        <v>33</v>
      </c>
    </row>
    <row r="124" spans="1:24" x14ac:dyDescent="0.25">
      <c r="U124" s="63"/>
      <c r="V124" s="58" t="s">
        <v>120</v>
      </c>
      <c r="W124" s="70">
        <f>SCEnergiebilanzNeubau!BilWärmesenkHT</f>
        <v>15</v>
      </c>
      <c r="X124" s="58" t="s">
        <v>33</v>
      </c>
    </row>
    <row r="125" spans="1:24" x14ac:dyDescent="0.25">
      <c r="U125" s="63"/>
      <c r="V125" s="60" t="s">
        <v>121</v>
      </c>
      <c r="W125" s="49">
        <f>SCEnergiebilanzNeubau!BilWärmesenkHV</f>
        <v>1</v>
      </c>
      <c r="X125" s="60" t="s">
        <v>33</v>
      </c>
    </row>
    <row r="126" spans="1:24" x14ac:dyDescent="0.25">
      <c r="U126" s="63"/>
      <c r="V126" s="60" t="s">
        <v>122</v>
      </c>
      <c r="W126" s="49">
        <f>SCEnergiebilanzNeubau!BilWärmesenkI</f>
        <v>0</v>
      </c>
      <c r="X126" s="60" t="s">
        <v>33</v>
      </c>
    </row>
    <row r="127" spans="1:24" x14ac:dyDescent="0.25">
      <c r="U127" s="61"/>
      <c r="V127" s="58" t="s">
        <v>123</v>
      </c>
      <c r="W127" s="70">
        <f>SCEnergiebilanzNeubau!BilWärmesenkS</f>
        <v>1541.712</v>
      </c>
      <c r="X127" s="58" t="s">
        <v>33</v>
      </c>
    </row>
    <row r="128" spans="1:24" x14ac:dyDescent="0.25">
      <c r="U128" s="51" t="s">
        <v>114</v>
      </c>
      <c r="V128" s="53"/>
      <c r="W128" s="69">
        <f>W129+W130+W131+W132</f>
        <v>115035.493</v>
      </c>
      <c r="X128" s="53" t="s">
        <v>33</v>
      </c>
    </row>
    <row r="129" spans="21:24" x14ac:dyDescent="0.25">
      <c r="U129" s="63"/>
      <c r="V129" s="58" t="s">
        <v>120</v>
      </c>
      <c r="W129" s="70">
        <f>SCEnergiebilanzNeubau!BilWärmequellHT</f>
        <v>0</v>
      </c>
      <c r="X129" s="58" t="s">
        <v>33</v>
      </c>
    </row>
    <row r="130" spans="21:24" x14ac:dyDescent="0.25">
      <c r="U130" s="63"/>
      <c r="V130" s="60" t="s">
        <v>121</v>
      </c>
      <c r="W130" s="49">
        <f>SCEnergiebilanzNeubau!BilWärmequellHV</f>
        <v>0</v>
      </c>
      <c r="X130" s="60" t="s">
        <v>33</v>
      </c>
    </row>
    <row r="131" spans="21:24" x14ac:dyDescent="0.25">
      <c r="U131" s="63"/>
      <c r="V131" s="60" t="s">
        <v>124</v>
      </c>
      <c r="W131" s="49">
        <f>SCEnergiebilanzNeubau!BilWärmequellI</f>
        <v>68433.226999999999</v>
      </c>
      <c r="X131" s="60" t="s">
        <v>33</v>
      </c>
    </row>
    <row r="132" spans="21:24" x14ac:dyDescent="0.25">
      <c r="U132" s="61"/>
      <c r="V132" s="58" t="s">
        <v>125</v>
      </c>
      <c r="W132" s="70">
        <f>SCEnergiebilanzNeubau!BilWärmequellS</f>
        <v>46602.266000000003</v>
      </c>
      <c r="X132" s="58" t="s">
        <v>33</v>
      </c>
    </row>
    <row r="133" spans="21:24" x14ac:dyDescent="0.25">
      <c r="U133" s="51" t="s">
        <v>129</v>
      </c>
      <c r="V133" s="53"/>
      <c r="W133" s="69">
        <f>W134+W135</f>
        <v>106300.428</v>
      </c>
      <c r="X133" s="53" t="s">
        <v>33</v>
      </c>
    </row>
    <row r="134" spans="21:24" x14ac:dyDescent="0.25">
      <c r="U134" s="63"/>
      <c r="V134" s="58" t="s">
        <v>98</v>
      </c>
      <c r="W134" s="70">
        <f>SCEnergiebilanzNeubau!BilNutzH</f>
        <v>95330.8</v>
      </c>
      <c r="X134" s="58" t="s">
        <v>33</v>
      </c>
    </row>
    <row r="135" spans="21:24" x14ac:dyDescent="0.25">
      <c r="U135" s="61"/>
      <c r="V135" s="58" t="s">
        <v>99</v>
      </c>
      <c r="W135" s="70">
        <f>SCEnergiebilanzNeubau!BilNutzW</f>
        <v>10969.628000000001</v>
      </c>
      <c r="X135" s="58" t="s">
        <v>33</v>
      </c>
    </row>
    <row r="136" spans="21:24" x14ac:dyDescent="0.25">
      <c r="U136" s="51" t="s">
        <v>126</v>
      </c>
      <c r="V136" s="53"/>
      <c r="W136" s="69">
        <f>W137+W138</f>
        <v>56015.014999999999</v>
      </c>
      <c r="X136" s="53" t="s">
        <v>33</v>
      </c>
    </row>
    <row r="137" spans="21:24" x14ac:dyDescent="0.25">
      <c r="U137" s="61"/>
      <c r="V137" s="58" t="s">
        <v>98</v>
      </c>
      <c r="W137" s="70">
        <f>SCEnergiebilanzNeubau!BilErzeugerabgHC+SCEnergiebilanzNeubau!BilErzeugerabgHD+SCEnergiebilanzNeubau!BilErzeugerabgHS</f>
        <v>56015.014999999999</v>
      </c>
      <c r="X137" s="58" t="s">
        <v>33</v>
      </c>
    </row>
    <row r="138" spans="21:24" x14ac:dyDescent="0.25">
      <c r="U138" s="61"/>
      <c r="V138" s="58" t="s">
        <v>99</v>
      </c>
      <c r="W138" s="70">
        <f>SCEnergiebilanzNeubau!BilErzeugerabgWD+SCEnergiebilanzNeubau!BilErzeugerabgWS</f>
        <v>0</v>
      </c>
      <c r="X138" s="58" t="s">
        <v>33</v>
      </c>
    </row>
    <row r="139" spans="21:24" x14ac:dyDescent="0.25">
      <c r="U139" s="51" t="s">
        <v>102</v>
      </c>
      <c r="V139" s="53"/>
      <c r="W139" s="69">
        <f>W140+W141</f>
        <v>162315.44500000001</v>
      </c>
      <c r="X139" s="53" t="s">
        <v>33</v>
      </c>
    </row>
    <row r="140" spans="21:24" x14ac:dyDescent="0.25">
      <c r="U140" s="63"/>
      <c r="V140" s="58" t="s">
        <v>98</v>
      </c>
      <c r="W140" s="70">
        <f>SCEnergiebilanzNeubau!BilErzeugerabgH</f>
        <v>151345.81700000001</v>
      </c>
      <c r="X140" s="58" t="s">
        <v>33</v>
      </c>
    </row>
    <row r="141" spans="21:24" x14ac:dyDescent="0.25">
      <c r="U141" s="61"/>
      <c r="V141" s="58" t="s">
        <v>99</v>
      </c>
      <c r="W141" s="70">
        <f>SCEnergiebilanzNeubau!BilErzeugerabgW</f>
        <v>10969.628000000001</v>
      </c>
      <c r="X141" s="58" t="s">
        <v>33</v>
      </c>
    </row>
    <row r="142" spans="21:24" x14ac:dyDescent="0.25">
      <c r="U142" s="51" t="s">
        <v>127</v>
      </c>
      <c r="V142" s="53"/>
      <c r="W142" s="69">
        <f>W143+W144</f>
        <v>109.696</v>
      </c>
      <c r="X142" s="53" t="s">
        <v>33</v>
      </c>
    </row>
    <row r="143" spans="21:24" x14ac:dyDescent="0.25">
      <c r="U143" s="63"/>
      <c r="V143" s="60" t="s">
        <v>98</v>
      </c>
      <c r="W143" s="70">
        <f>SCEnergiebilanzNeubau!BilEndenergieHGEN</f>
        <v>0</v>
      </c>
      <c r="X143" s="58" t="s">
        <v>33</v>
      </c>
    </row>
    <row r="144" spans="21:24" x14ac:dyDescent="0.25">
      <c r="U144" s="61"/>
      <c r="V144" s="58" t="s">
        <v>99</v>
      </c>
      <c r="W144" s="70">
        <f>SCEnergiebilanzNeubau!BilEndenergieWGEN</f>
        <v>109.696</v>
      </c>
      <c r="X144" s="58" t="s">
        <v>33</v>
      </c>
    </row>
    <row r="145" spans="21:24" x14ac:dyDescent="0.25">
      <c r="U145" s="51" t="s">
        <v>106</v>
      </c>
      <c r="V145" s="53"/>
      <c r="W145" s="69">
        <f>W146+W147</f>
        <v>162425.141</v>
      </c>
      <c r="X145" s="53" t="s">
        <v>33</v>
      </c>
    </row>
    <row r="146" spans="21:24" x14ac:dyDescent="0.25">
      <c r="U146" s="63"/>
      <c r="V146" s="58" t="s">
        <v>98</v>
      </c>
      <c r="W146" s="70">
        <f>SCEnergiebilanzNeubau!BilEndenergieHF</f>
        <v>151345.81700000001</v>
      </c>
      <c r="X146" s="58" t="s">
        <v>33</v>
      </c>
    </row>
    <row r="147" spans="21:24" x14ac:dyDescent="0.25">
      <c r="U147" s="61"/>
      <c r="V147" s="58" t="s">
        <v>99</v>
      </c>
      <c r="W147" s="70">
        <f>SCEnergiebilanzNeubau!BilEndenergieWF</f>
        <v>11079.324000000001</v>
      </c>
      <c r="X147" s="58" t="s">
        <v>33</v>
      </c>
    </row>
    <row r="148" spans="21:24" x14ac:dyDescent="0.25">
      <c r="U148" s="51" t="s">
        <v>128</v>
      </c>
      <c r="V148" s="53"/>
      <c r="W148" s="69">
        <f>W149+W150</f>
        <v>0</v>
      </c>
      <c r="X148" s="53" t="s">
        <v>33</v>
      </c>
    </row>
    <row r="149" spans="21:24" x14ac:dyDescent="0.25">
      <c r="U149" s="63"/>
      <c r="V149" s="58" t="s">
        <v>98</v>
      </c>
      <c r="W149" s="70">
        <f>MAX(0,W140-W146)</f>
        <v>0</v>
      </c>
      <c r="X149" s="58" t="s">
        <v>33</v>
      </c>
    </row>
    <row r="150" spans="21:24" x14ac:dyDescent="0.25">
      <c r="U150" s="61"/>
      <c r="V150" s="58" t="s">
        <v>99</v>
      </c>
      <c r="W150" s="70">
        <f>MAX(0,W141-W147)</f>
        <v>0</v>
      </c>
      <c r="X150" s="58" t="s">
        <v>33</v>
      </c>
    </row>
    <row r="151" spans="21:24" x14ac:dyDescent="0.25">
      <c r="U151" s="51" t="s">
        <v>108</v>
      </c>
      <c r="V151" s="53"/>
      <c r="W151" s="69">
        <f>W152+W153</f>
        <v>1442.433</v>
      </c>
      <c r="X151" s="53" t="s">
        <v>33</v>
      </c>
    </row>
    <row r="152" spans="21:24" x14ac:dyDescent="0.25">
      <c r="U152" s="61"/>
      <c r="V152" s="58" t="s">
        <v>98</v>
      </c>
      <c r="W152" s="70">
        <f>SCEnergiebilanzNeubau!BilHilfsenergieHCE+SCEnergiebilanzNeubau!BilHilfsenergieHD+SCEnergiebilanzNeubau!BilHilfsenergieHS+SCEnergiebilanzNeubau!BilHilfsenergieHGEN</f>
        <v>1442.433</v>
      </c>
      <c r="X152" s="58" t="s">
        <v>33</v>
      </c>
    </row>
    <row r="153" spans="21:24" x14ac:dyDescent="0.25">
      <c r="U153" s="61"/>
      <c r="V153" s="58" t="s">
        <v>99</v>
      </c>
      <c r="W153" s="70">
        <f>SCEnergiebilanzNeubau!BilHilfsenergieWD+SCEnergiebilanzNeubau!BilHilfsenergieWS+SCEnergiebilanzNeubau!BilHilfsenergieWGEN</f>
        <v>0</v>
      </c>
      <c r="X153" s="58" t="s">
        <v>33</v>
      </c>
    </row>
  </sheetData>
  <mergeCells count="4">
    <mergeCell ref="R19:S19"/>
    <mergeCell ref="O19:O20"/>
    <mergeCell ref="Q19:Q20"/>
    <mergeCell ref="P19:P20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278</vt:i4>
      </vt:variant>
    </vt:vector>
  </HeadingPairs>
  <TitlesOfParts>
    <vt:vector size="287" baseType="lpstr">
      <vt:lpstr>SCProjektangaben</vt:lpstr>
      <vt:lpstr>SCAllgDatErg</vt:lpstr>
      <vt:lpstr>SCZonendaten</vt:lpstr>
      <vt:lpstr>SCModernisierungen</vt:lpstr>
      <vt:lpstr>SCEnergiebilanz</vt:lpstr>
      <vt:lpstr>SCEnergiebericht</vt:lpstr>
      <vt:lpstr>SCEnergiebilanzNeubau</vt:lpstr>
      <vt:lpstr>SCNeubau</vt:lpstr>
      <vt:lpstr>SCNeubauberatungsbericht</vt:lpstr>
      <vt:lpstr>AllgBezugFlach</vt:lpstr>
      <vt:lpstr>AllgNachweis</vt:lpstr>
      <vt:lpstr>AllgVariante</vt:lpstr>
      <vt:lpstr>BEG_ZIEL</vt:lpstr>
      <vt:lpstr>bestand_co2</vt:lpstr>
      <vt:lpstr>Bestand_endenergiebedarf</vt:lpstr>
      <vt:lpstr>Bestand_primaerenergiebedarf</vt:lpstr>
      <vt:lpstr>SCEnergiebilanzNeubau!BilCodeBt</vt:lpstr>
      <vt:lpstr>BilCodeBt</vt:lpstr>
      <vt:lpstr>BilCodeBtNeubau</vt:lpstr>
      <vt:lpstr>SCEnergiebilanzNeubau!BilEndenergieCF</vt:lpstr>
      <vt:lpstr>BilEndenergieCF</vt:lpstr>
      <vt:lpstr>SCEnergiebilanzNeubau!BilEndenergieCGEN</vt:lpstr>
      <vt:lpstr>BilEndenergieCGEN</vt:lpstr>
      <vt:lpstr>SCEnergiebilanzNeubau!BilEndenergieHF</vt:lpstr>
      <vt:lpstr>BilEndenergieHF</vt:lpstr>
      <vt:lpstr>SCEnergiebilanzNeubau!BilEndenergieHGEN</vt:lpstr>
      <vt:lpstr>BilEndenergieHGEN</vt:lpstr>
      <vt:lpstr>SCEnergiebilanzNeubau!BilEndenergieLF</vt:lpstr>
      <vt:lpstr>BilEndenergieLF</vt:lpstr>
      <vt:lpstr>SCEnergiebilanzNeubau!BilEndenergieMF</vt:lpstr>
      <vt:lpstr>BilEndenergieMF</vt:lpstr>
      <vt:lpstr>SCEnergiebilanzNeubau!BilEndenergieWF</vt:lpstr>
      <vt:lpstr>BilEndenergieWF</vt:lpstr>
      <vt:lpstr>SCEnergiebilanzNeubau!BilEndenergieWGEN</vt:lpstr>
      <vt:lpstr>BilEndenergieWGEN</vt:lpstr>
      <vt:lpstr>SCEnergiebilanzNeubau!BilErzeugerabgC</vt:lpstr>
      <vt:lpstr>BilErzeugerabgC</vt:lpstr>
      <vt:lpstr>SCEnergiebilanzNeubau!BilErzeugerabgCCE</vt:lpstr>
      <vt:lpstr>BilErzeugerabgCCE</vt:lpstr>
      <vt:lpstr>SCEnergiebilanzNeubau!BilErzeugerabgCD</vt:lpstr>
      <vt:lpstr>BilErzeugerabgCD</vt:lpstr>
      <vt:lpstr>SCEnergiebilanzNeubau!BilErzeugerabgCS</vt:lpstr>
      <vt:lpstr>BilErzeugerabgCS</vt:lpstr>
      <vt:lpstr>SCEnergiebilanzNeubau!BilErzeugerabgH</vt:lpstr>
      <vt:lpstr>BilErzeugerabgH</vt:lpstr>
      <vt:lpstr>SCEnergiebilanzNeubau!BilErzeugerabgHC</vt:lpstr>
      <vt:lpstr>BilErzeugerabgHC</vt:lpstr>
      <vt:lpstr>SCEnergiebilanzNeubau!BilErzeugerabgHD</vt:lpstr>
      <vt:lpstr>BilErzeugerabgHD</vt:lpstr>
      <vt:lpstr>SCEnergiebilanzNeubau!BilErzeugerabgHS</vt:lpstr>
      <vt:lpstr>BilErzeugerabgHS</vt:lpstr>
      <vt:lpstr>SCEnergiebilanzNeubau!BilErzeugerabgMSTERN</vt:lpstr>
      <vt:lpstr>BilErzeugerabgMSTERN</vt:lpstr>
      <vt:lpstr>SCEnergiebilanzNeubau!BilErzeugerabgW</vt:lpstr>
      <vt:lpstr>BilErzeugerabgW</vt:lpstr>
      <vt:lpstr>SCEnergiebilanzNeubau!BilErzeugerabgWD</vt:lpstr>
      <vt:lpstr>BilErzeugerabgWD</vt:lpstr>
      <vt:lpstr>SCEnergiebilanzNeubau!BilErzeugerabgWS</vt:lpstr>
      <vt:lpstr>BilErzeugerabgWS</vt:lpstr>
      <vt:lpstr>SCEnergiebilanzNeubau!BilHilfsenergieCCE</vt:lpstr>
      <vt:lpstr>BilHilfsenergieCCE</vt:lpstr>
      <vt:lpstr>SCEnergiebilanzNeubau!BilHilfsenergieCD</vt:lpstr>
      <vt:lpstr>BilHilfsenergieCD</vt:lpstr>
      <vt:lpstr>SCEnergiebilanzNeubau!BilHilfsenergieCGEN</vt:lpstr>
      <vt:lpstr>BilHilfsenergieCGEN</vt:lpstr>
      <vt:lpstr>SCEnergiebilanzNeubau!BilHilfsenergieHCE</vt:lpstr>
      <vt:lpstr>BilHilfsenergieHCE</vt:lpstr>
      <vt:lpstr>SCEnergiebilanzNeubau!BilHilfsenergieHD</vt:lpstr>
      <vt:lpstr>BilHilfsenergieHD</vt:lpstr>
      <vt:lpstr>SCEnergiebilanzNeubau!BilHilfsenergieHGEN</vt:lpstr>
      <vt:lpstr>BilHilfsenergieHGEN</vt:lpstr>
      <vt:lpstr>SCEnergiebilanzNeubau!BilHilfsenergieHS</vt:lpstr>
      <vt:lpstr>BilHilfsenergieHS</vt:lpstr>
      <vt:lpstr>SCEnergiebilanzNeubau!BilHilfsenergieV</vt:lpstr>
      <vt:lpstr>BilHilfsenergieV</vt:lpstr>
      <vt:lpstr>SCEnergiebilanzNeubau!BilHilfsenergieWD</vt:lpstr>
      <vt:lpstr>BilHilfsenergieWD</vt:lpstr>
      <vt:lpstr>SCEnergiebilanzNeubau!BilHilfsenergieWGEN</vt:lpstr>
      <vt:lpstr>BilHilfsenergieWGEN</vt:lpstr>
      <vt:lpstr>SCEnergiebilanzNeubau!BilHilfsenergieWS</vt:lpstr>
      <vt:lpstr>BilHilfsenergieWS</vt:lpstr>
      <vt:lpstr>SCEnergiebilanzNeubau!BilNutzC</vt:lpstr>
      <vt:lpstr>BilNutzC</vt:lpstr>
      <vt:lpstr>SCEnergiebilanzNeubau!BilNutzH</vt:lpstr>
      <vt:lpstr>BilNutzH</vt:lpstr>
      <vt:lpstr>SCEnergiebilanzNeubau!BilNutzL</vt:lpstr>
      <vt:lpstr>BilNutzL</vt:lpstr>
      <vt:lpstr>SCEnergiebilanzNeubau!BilNutzMSTERN</vt:lpstr>
      <vt:lpstr>BilNutzMSTERN</vt:lpstr>
      <vt:lpstr>SCEnergiebilanzNeubau!BilNutzW</vt:lpstr>
      <vt:lpstr>BilNutzW</vt:lpstr>
      <vt:lpstr>SCEnergiebilanzNeubau!BilPrimärC</vt:lpstr>
      <vt:lpstr>BilPrimärC</vt:lpstr>
      <vt:lpstr>SCEnergiebilanzNeubau!BilPrimärH</vt:lpstr>
      <vt:lpstr>BilPrimärH</vt:lpstr>
      <vt:lpstr>SCEnergiebilanzNeubau!BilPrimärL</vt:lpstr>
      <vt:lpstr>BilPrimärL</vt:lpstr>
      <vt:lpstr>SCEnergiebilanzNeubau!BilPrimärMSTERN</vt:lpstr>
      <vt:lpstr>BilPrimärMSTERN</vt:lpstr>
      <vt:lpstr>SCEnergiebilanzNeubau!BilPrimärV</vt:lpstr>
      <vt:lpstr>BilPrimärV</vt:lpstr>
      <vt:lpstr>SCEnergiebilanzNeubau!BilPrimärW</vt:lpstr>
      <vt:lpstr>BilPrimärW</vt:lpstr>
      <vt:lpstr>SCEnergiebilanzNeubau!BilWärmequellC</vt:lpstr>
      <vt:lpstr>BilWärmequellC</vt:lpstr>
      <vt:lpstr>SCEnergiebilanzNeubau!BilWärmequellCT</vt:lpstr>
      <vt:lpstr>BilWärmequellCT</vt:lpstr>
      <vt:lpstr>SCEnergiebilanzNeubau!BilWärmequellCTE</vt:lpstr>
      <vt:lpstr>BilWärmequellCTE</vt:lpstr>
      <vt:lpstr>SCEnergiebilanzNeubau!BilWärmequellCTS</vt:lpstr>
      <vt:lpstr>BilWärmequellCTS</vt:lpstr>
      <vt:lpstr>SCEnergiebilanzNeubau!BilWärmequellCTU</vt:lpstr>
      <vt:lpstr>BilWärmequellCTU</vt:lpstr>
      <vt:lpstr>SCEnergiebilanzNeubau!BilWärmequellCTZ</vt:lpstr>
      <vt:lpstr>BilWärmequellCTZ</vt:lpstr>
      <vt:lpstr>SCEnergiebilanzNeubau!BilWärmequellCV</vt:lpstr>
      <vt:lpstr>BilWärmequellCV</vt:lpstr>
      <vt:lpstr>SCEnergiebilanzNeubau!BilWärmequellCVINF</vt:lpstr>
      <vt:lpstr>BilWärmequellCVINF</vt:lpstr>
      <vt:lpstr>SCEnergiebilanzNeubau!BilWärmequellCVMECH</vt:lpstr>
      <vt:lpstr>BilWärmequellCVMECH</vt:lpstr>
      <vt:lpstr>SCEnergiebilanzNeubau!BilWärmequellCVWIN</vt:lpstr>
      <vt:lpstr>BilWärmequellCVWIN</vt:lpstr>
      <vt:lpstr>SCEnergiebilanzNeubau!BilWärmequellCVZ</vt:lpstr>
      <vt:lpstr>BilWärmequellCVZ</vt:lpstr>
      <vt:lpstr>SCEnergiebilanzNeubau!BilWärmequellH</vt:lpstr>
      <vt:lpstr>BilWärmequellH</vt:lpstr>
      <vt:lpstr>SCEnergiebilanzNeubau!BilWärmequellHT</vt:lpstr>
      <vt:lpstr>BilWärmequellHT</vt:lpstr>
      <vt:lpstr>SCEnergiebilanzNeubau!BilWärmequellHTS</vt:lpstr>
      <vt:lpstr>BilWärmequellHTS</vt:lpstr>
      <vt:lpstr>SCEnergiebilanzNeubau!BilWärmequellHTU</vt:lpstr>
      <vt:lpstr>BilWärmequellHTU</vt:lpstr>
      <vt:lpstr>SCEnergiebilanzNeubau!BilWärmequellHTZ</vt:lpstr>
      <vt:lpstr>BilWärmequellHTZ</vt:lpstr>
      <vt:lpstr>SCEnergiebilanzNeubau!BilWärmequellHV</vt:lpstr>
      <vt:lpstr>BilWärmequellHV</vt:lpstr>
      <vt:lpstr>SCEnergiebilanzNeubau!BilWärmequellHVINF</vt:lpstr>
      <vt:lpstr>BilWärmequellHVINF</vt:lpstr>
      <vt:lpstr>SCEnergiebilanzNeubau!BilWärmequellHVMECH</vt:lpstr>
      <vt:lpstr>BilWärmequellHVMECH</vt:lpstr>
      <vt:lpstr>SCEnergiebilanzNeubau!BilWärmequellHVWIN</vt:lpstr>
      <vt:lpstr>BilWärmequellHVWIN</vt:lpstr>
      <vt:lpstr>SCEnergiebilanzNeubau!BilWärmequellHVZ</vt:lpstr>
      <vt:lpstr>BilWärmequellHVZ</vt:lpstr>
      <vt:lpstr>SCEnergiebilanzNeubau!BilWärmequellI</vt:lpstr>
      <vt:lpstr>BilWärmequellI</vt:lpstr>
      <vt:lpstr>SCEnergiebilanzNeubau!BilWärmequellIFAC</vt:lpstr>
      <vt:lpstr>BilWärmequellIFAC</vt:lpstr>
      <vt:lpstr>SCEnergiebilanzNeubau!BilWärmequellIGOODS</vt:lpstr>
      <vt:lpstr>BilWärmequellIGOODS</vt:lpstr>
      <vt:lpstr>SCEnergiebilanzNeubau!BilWärmequellIH</vt:lpstr>
      <vt:lpstr>BilWärmequellIH</vt:lpstr>
      <vt:lpstr>SCEnergiebilanzNeubau!BilWärmequellIL</vt:lpstr>
      <vt:lpstr>BilWärmequellIL</vt:lpstr>
      <vt:lpstr>SCEnergiebilanzNeubau!BilWärmequellIP</vt:lpstr>
      <vt:lpstr>BilWärmequellIP</vt:lpstr>
      <vt:lpstr>SCEnergiebilanzNeubau!BilWärmequellS</vt:lpstr>
      <vt:lpstr>BilWärmequellS</vt:lpstr>
      <vt:lpstr>SCEnergiebilanzNeubau!BilWärmequellSOP</vt:lpstr>
      <vt:lpstr>BilWärmequellSOP</vt:lpstr>
      <vt:lpstr>SCEnergiebilanzNeubau!BilWärmequellSTR</vt:lpstr>
      <vt:lpstr>BilWärmequellSTR</vt:lpstr>
      <vt:lpstr>SCEnergiebilanzNeubau!BilWärmesenkC</vt:lpstr>
      <vt:lpstr>BilWärmesenkC</vt:lpstr>
      <vt:lpstr>SCEnergiebilanzNeubau!BilWärmesenkCT</vt:lpstr>
      <vt:lpstr>BilWärmesenkCT</vt:lpstr>
      <vt:lpstr>SCEnergiebilanzNeubau!BilWärmesenkCTE</vt:lpstr>
      <vt:lpstr>BilWärmesenkCTE</vt:lpstr>
      <vt:lpstr>SCEnergiebilanzNeubau!BilWärmesenkCTS</vt:lpstr>
      <vt:lpstr>BilWärmesenkCTS</vt:lpstr>
      <vt:lpstr>SCEnergiebilanzNeubau!BilWärmesenkCTU</vt:lpstr>
      <vt:lpstr>BilWärmesenkCTU</vt:lpstr>
      <vt:lpstr>SCEnergiebilanzNeubau!BilWärmesenkCTZ</vt:lpstr>
      <vt:lpstr>BilWärmesenkCTZ</vt:lpstr>
      <vt:lpstr>SCEnergiebilanzNeubau!BilWärmesenkCV</vt:lpstr>
      <vt:lpstr>BilWärmesenkCV</vt:lpstr>
      <vt:lpstr>SCEnergiebilanzNeubau!BilWärmesenkCVINF</vt:lpstr>
      <vt:lpstr>BilWärmesenkCVINF</vt:lpstr>
      <vt:lpstr>SCEnergiebilanzNeubau!BilWärmesenkCVMECH</vt:lpstr>
      <vt:lpstr>BilWärmesenkCVMECH</vt:lpstr>
      <vt:lpstr>SCEnergiebilanzNeubau!BilWärmesenkCVWIN</vt:lpstr>
      <vt:lpstr>BilWärmesenkCVWIN</vt:lpstr>
      <vt:lpstr>SCEnergiebilanzNeubau!BilWärmesenkCVZ</vt:lpstr>
      <vt:lpstr>BilWärmesenkCVZ</vt:lpstr>
      <vt:lpstr>SCEnergiebilanzNeubau!BilWärmesenkH</vt:lpstr>
      <vt:lpstr>BilWärmesenkH</vt:lpstr>
      <vt:lpstr>SCEnergiebilanzNeubau!BilWärmesenkHT</vt:lpstr>
      <vt:lpstr>BilWärmesenkHT</vt:lpstr>
      <vt:lpstr>BilWärmesenkHT_neubau</vt:lpstr>
      <vt:lpstr>SCEnergiebilanzNeubau!BilWärmesenkHTE</vt:lpstr>
      <vt:lpstr>BilWärmesenkHTE</vt:lpstr>
      <vt:lpstr>BilWärmesenkHTNeu</vt:lpstr>
      <vt:lpstr>SCEnergiebilanzNeubau!BilWärmesenkHTS</vt:lpstr>
      <vt:lpstr>BilWärmesenkHTS</vt:lpstr>
      <vt:lpstr>SCEnergiebilanzNeubau!BilWärmesenkHTU</vt:lpstr>
      <vt:lpstr>BilWärmesenkHTU</vt:lpstr>
      <vt:lpstr>SCEnergiebilanzNeubau!BilWärmesenkHTZ</vt:lpstr>
      <vt:lpstr>BilWärmesenkHTZ</vt:lpstr>
      <vt:lpstr>SCEnergiebilanzNeubau!BilWärmesenkHV</vt:lpstr>
      <vt:lpstr>BilWärmesenkHV</vt:lpstr>
      <vt:lpstr>SCEnergiebilanzNeubau!BilWärmesenkHVINF</vt:lpstr>
      <vt:lpstr>BilWärmesenkHVINF</vt:lpstr>
      <vt:lpstr>SCEnergiebilanzNeubau!BilWärmesenkHVMECH</vt:lpstr>
      <vt:lpstr>BilWärmesenkHVMECH</vt:lpstr>
      <vt:lpstr>SCEnergiebilanzNeubau!BilWärmesenkHVWIN</vt:lpstr>
      <vt:lpstr>BilWärmesenkHVWIN</vt:lpstr>
      <vt:lpstr>SCEnergiebilanzNeubau!BilWärmesenkHVZ</vt:lpstr>
      <vt:lpstr>BilWärmesenkHVZ</vt:lpstr>
      <vt:lpstr>SCEnergiebilanzNeubau!BilWärmesenkI</vt:lpstr>
      <vt:lpstr>BilWärmesenkI</vt:lpstr>
      <vt:lpstr>SCEnergiebilanzNeubau!BilWärmesenkIC</vt:lpstr>
      <vt:lpstr>BilWärmesenkIC</vt:lpstr>
      <vt:lpstr>SCEnergiebilanzNeubau!BilWärmesenkIFAC</vt:lpstr>
      <vt:lpstr>BilWärmesenkIFAC</vt:lpstr>
      <vt:lpstr>SCEnergiebilanzNeubau!BilWärmesenkIGOODS</vt:lpstr>
      <vt:lpstr>BilWärmesenkIGOODS</vt:lpstr>
      <vt:lpstr>SCEnergiebilanzNeubau!BilWärmesenkS</vt:lpstr>
      <vt:lpstr>BilWärmesenkS</vt:lpstr>
      <vt:lpstr>SCEnergiebilanzNeubau!BilWärmesenkSOP</vt:lpstr>
      <vt:lpstr>BilWärmesenkSOP</vt:lpstr>
      <vt:lpstr>BTCODE</vt:lpstr>
      <vt:lpstr>BTCODE_B</vt:lpstr>
      <vt:lpstr>FeldEbBezugFlach</vt:lpstr>
      <vt:lpstr>FeldEbMod1Bez</vt:lpstr>
      <vt:lpstr>FeldEbModEinZugBez</vt:lpstr>
      <vt:lpstr>FeldEbObjektKurz</vt:lpstr>
      <vt:lpstr>FeldEbUmfassFlach</vt:lpstr>
      <vt:lpstr>FeldEbVe</vt:lpstr>
      <vt:lpstr>Foerderprogramm1_gesamt</vt:lpstr>
      <vt:lpstr>foerderprogramm1_schritt1</vt:lpstr>
      <vt:lpstr>Mod1Bez</vt:lpstr>
      <vt:lpstr>Mod1BezKom</vt:lpstr>
      <vt:lpstr>Mod1ETbez</vt:lpstr>
      <vt:lpstr>Mod2Bez</vt:lpstr>
      <vt:lpstr>Mod2BezKom</vt:lpstr>
      <vt:lpstr>Mod2ETbez</vt:lpstr>
      <vt:lpstr>Mod3Bez</vt:lpstr>
      <vt:lpstr>Mod3BezKom</vt:lpstr>
      <vt:lpstr>Mod3ETbez</vt:lpstr>
      <vt:lpstr>Mod4Bez</vt:lpstr>
      <vt:lpstr>Mod4BezKom</vt:lpstr>
      <vt:lpstr>Mod4ETbez</vt:lpstr>
      <vt:lpstr>Mod5Bez</vt:lpstr>
      <vt:lpstr>Mod5BezKom</vt:lpstr>
      <vt:lpstr>Mod5ETbez</vt:lpstr>
      <vt:lpstr>Mod6Bez</vt:lpstr>
      <vt:lpstr>Mod6BezKom</vt:lpstr>
      <vt:lpstr>Mod6ETbez</vt:lpstr>
      <vt:lpstr>Mod7Bez</vt:lpstr>
      <vt:lpstr>Mod7BezKom</vt:lpstr>
      <vt:lpstr>Mod7ETbez</vt:lpstr>
      <vt:lpstr>Mod8Bez</vt:lpstr>
      <vt:lpstr>Mod8BezKom</vt:lpstr>
      <vt:lpstr>Mod8ETbez</vt:lpstr>
      <vt:lpstr>Mod9Bez</vt:lpstr>
      <vt:lpstr>Mod9BezKom</vt:lpstr>
      <vt:lpstr>Mod9ETbez</vt:lpstr>
      <vt:lpstr>ModBestandETbez</vt:lpstr>
      <vt:lpstr>ModEinZugBez</vt:lpstr>
      <vt:lpstr>ModEinZugBezKom</vt:lpstr>
      <vt:lpstr>ModEinZugETbez</vt:lpstr>
      <vt:lpstr>ModEtBez</vt:lpstr>
      <vt:lpstr>NB_energiebilanz</vt:lpstr>
      <vt:lpstr>NB_energiekosten</vt:lpstr>
      <vt:lpstr>NB_neubaufaktor</vt:lpstr>
      <vt:lpstr>NB_qf</vt:lpstr>
      <vt:lpstr>NB_ref_co2</vt:lpstr>
      <vt:lpstr>NB_ref_energiekosten</vt:lpstr>
      <vt:lpstr>NB_ref_grundkosten_energie</vt:lpstr>
      <vt:lpstr>NB_ref_q_f</vt:lpstr>
      <vt:lpstr>NB_ref_qp</vt:lpstr>
      <vt:lpstr>NB_tab_vergleichEnergiebedarf</vt:lpstr>
      <vt:lpstr>NB_tab_wirtschaftlichkeit_mit_foerderung</vt:lpstr>
      <vt:lpstr>ProEigAnrede</vt:lpstr>
      <vt:lpstr>ProObjektInfo</vt:lpstr>
      <vt:lpstr>tabEb_wirtschaftmitfoerder_einzug</vt:lpstr>
      <vt:lpstr>tabEb_wirtschaftmitfoerder_schritt1</vt:lpstr>
      <vt:lpstr>TabEbAdrEientümer</vt:lpstr>
      <vt:lpstr>TabEbAdrGebäude</vt:lpstr>
      <vt:lpstr>Ziel_co2</vt:lpstr>
      <vt:lpstr>Ziel_kosten_eemehr</vt:lpstr>
      <vt:lpstr>Ziel_kosten_instand</vt:lpstr>
      <vt:lpstr>Ziel_kosten_invest</vt:lpstr>
      <vt:lpstr>Ziel_qf</vt:lpstr>
      <vt:lpstr>Ziel_qp</vt:lpstr>
      <vt:lpstr>ZonNummer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Ronald</dc:creator>
  <cp:lastModifiedBy>Barbara Falkenhof</cp:lastModifiedBy>
  <dcterms:created xsi:type="dcterms:W3CDTF">2015-09-09T07:03:04Z</dcterms:created>
  <dcterms:modified xsi:type="dcterms:W3CDTF">2025-07-25T07:46:56Z</dcterms:modified>
</cp:coreProperties>
</file>